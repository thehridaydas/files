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pense Tracker" sheetId="1" state="visible" r:id="rId3"/>
    <sheet name="📅 Budget Plann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<sst xmlns="http://schemas.openxmlformats.org/spreadsheetml/2006/main" count="118" uniqueCount="87">
  <si>
    <t xml:space="preserve">Food &amp; Dining</t>
  </si>
  <si>
    <t xml:space="preserve">Cash</t>
  </si>
  <si>
    <t xml:space="preserve">💳  EXPENSE TRACKER</t>
  </si>
  <si>
    <t xml:space="preserve">Transport</t>
  </si>
  <si>
    <t xml:space="preserve">UPI</t>
  </si>
  <si>
    <t xml:space="preserve">Utilities</t>
  </si>
  <si>
    <t xml:space="preserve">Credit Card</t>
  </si>
  <si>
    <t xml:space="preserve">Fiscal Year 2026  |  Track every rupee, grow every day</t>
  </si>
  <si>
    <t xml:space="preserve">Rent/Housing</t>
  </si>
  <si>
    <t xml:space="preserve">Debit Card</t>
  </si>
  <si>
    <t xml:space="preserve">Healthcare</t>
  </si>
  <si>
    <t xml:space="preserve">Net Banking</t>
  </si>
  <si>
    <t xml:space="preserve">TOTAL SPENT</t>
  </si>
  <si>
    <t xml:space="preserve">THIS MONTH</t>
  </si>
  <si>
    <t xml:space="preserve"># EXPENSES</t>
  </si>
  <si>
    <t xml:space="preserve">Shopping</t>
  </si>
  <si>
    <t xml:space="preserve">Wallet</t>
  </si>
  <si>
    <t xml:space="preserve">📂  SPENDING BY CATEGORY</t>
  </si>
  <si>
    <t xml:space="preserve">Entertainment</t>
  </si>
  <si>
    <t xml:space="preserve">Category</t>
  </si>
  <si>
    <t xml:space="preserve">Spent (₹)</t>
  </si>
  <si>
    <t xml:space="preserve">% of Total</t>
  </si>
  <si>
    <t xml:space="preserve">Education</t>
  </si>
  <si>
    <t xml:space="preserve">#</t>
  </si>
  <si>
    <t xml:space="preserve">Date</t>
  </si>
  <si>
    <t xml:space="preserve">Description</t>
  </si>
  <si>
    <t xml:space="preserve">Payment Mode</t>
  </si>
  <si>
    <t xml:space="preserve">Amount (₹)</t>
  </si>
  <si>
    <t xml:space="preserve">Notes</t>
  </si>
  <si>
    <t xml:space="preserve">Personal Care</t>
  </si>
  <si>
    <t xml:space="preserve">Subscriptions</t>
  </si>
  <si>
    <t xml:space="preserve">Travel</t>
  </si>
  <si>
    <t xml:space="preserve">Savings Transfer</t>
  </si>
  <si>
    <t xml:space="preserve">Grocery shopping</t>
  </si>
  <si>
    <t xml:space="preserve">Big Basket order</t>
  </si>
  <si>
    <t xml:space="preserve">Other</t>
  </si>
  <si>
    <t xml:space="preserve">Uber to airport</t>
  </si>
  <si>
    <t xml:space="preserve">Early morning cab</t>
  </si>
  <si>
    <t xml:space="preserve">Electricity bill</t>
  </si>
  <si>
    <t xml:space="preserve">BESCOM June bill</t>
  </si>
  <si>
    <t xml:space="preserve">Netflix subscription</t>
  </si>
  <si>
    <t xml:space="preserve">Monthly plan</t>
  </si>
  <si>
    <t xml:space="preserve">Lunch with client</t>
  </si>
  <si>
    <t xml:space="preserve">Client meeting</t>
  </si>
  <si>
    <t xml:space="preserve">Canva Pro renewal</t>
  </si>
  <si>
    <t xml:space="preserve">Annual plan</t>
  </si>
  <si>
    <t xml:space="preserve">Petrol fill-up</t>
  </si>
  <si>
    <t xml:space="preserve">Full tank</t>
  </si>
  <si>
    <t xml:space="preserve">Gym membership</t>
  </si>
  <si>
    <t xml:space="preserve">June fee</t>
  </si>
  <si>
    <t xml:space="preserve">TOTAL</t>
  </si>
  <si>
    <t xml:space="preserve">📅  MONTHLY BUDGET PLANNER</t>
  </si>
  <si>
    <t xml:space="preserve">Plan your spending. Own your finances.  |  2026</t>
  </si>
  <si>
    <t xml:space="preserve">💰  INCOME SUMMARY</t>
  </si>
  <si>
    <t xml:space="preserve">Source</t>
  </si>
  <si>
    <t xml:space="preserve">Jan</t>
  </si>
  <si>
    <t xml:space="preserve">Feb</t>
  </si>
  <si>
    <t xml:space="preserve">Mar</t>
  </si>
  <si>
    <t xml:space="preserve">Apr–Dec Avg</t>
  </si>
  <si>
    <t xml:space="preserve">Annual Total</t>
  </si>
  <si>
    <t xml:space="preserve">Primary Salary</t>
  </si>
  <si>
    <t xml:space="preserve">Freelance / Side Gig</t>
  </si>
  <si>
    <t xml:space="preserve">Repsine Revenue</t>
  </si>
  <si>
    <t xml:space="preserve">Other Income</t>
  </si>
  <si>
    <t xml:space="preserve">TOTAL INCOME</t>
  </si>
  <si>
    <t xml:space="preserve">📊  BUDGET vs ACTUAL  —  Monthly Breakdown</t>
  </si>
  <si>
    <t xml:space="preserve">Budget (₹)</t>
  </si>
  <si>
    <t xml:space="preserve">Actual (₹)</t>
  </si>
  <si>
    <t xml:space="preserve">Variance (₹)</t>
  </si>
  <si>
    <t xml:space="preserve">% Used</t>
  </si>
  <si>
    <t xml:space="preserve">Status</t>
  </si>
  <si>
    <t xml:space="preserve">🏠 Rent / Housing</t>
  </si>
  <si>
    <t xml:space="preserve">🍽️ Food &amp; Dining</t>
  </si>
  <si>
    <t xml:space="preserve">🚗 Transport</t>
  </si>
  <si>
    <t xml:space="preserve">💡 Utilities</t>
  </si>
  <si>
    <t xml:space="preserve">📱 Subscriptions</t>
  </si>
  <si>
    <t xml:space="preserve">🛍️ Shopping</t>
  </si>
  <si>
    <t xml:space="preserve">🏥 Healthcare</t>
  </si>
  <si>
    <t xml:space="preserve">📚 Education</t>
  </si>
  <si>
    <t xml:space="preserve">💆 Personal Care</t>
  </si>
  <si>
    <t xml:space="preserve">✈️ Travel</t>
  </si>
  <si>
    <t xml:space="preserve">💰 Savings</t>
  </si>
  <si>
    <t xml:space="preserve">🎉 Entertainment</t>
  </si>
  <si>
    <t xml:space="preserve">📦 Other</t>
  </si>
  <si>
    <t xml:space="preserve">TOTAL EXPENSES</t>
  </si>
  <si>
    <t xml:space="preserve">💵  NET SAVINGS (Income − Expenses)</t>
  </si>
  <si>
    <t xml:space="preserve">Savings 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</si>
</sst>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.00"/>
    <numFmt numFmtId="166" formatCode="General"/>
    <numFmt numFmtId="167" formatCode="0.0%"/>
    <numFmt numFmtId="168" formatCode="dd\-mmm\-yyyy"/>
    <numFmt numFmtId="169" formatCode="\₹#,##0"/>
    <numFmt numFmtId="170" formatCode="\₹#,##0;[RED]&quot;(₹&quot;#,##0\);\-"/>
    <numFmt numFmtId="171" formatCode="0%"/>
    <numFmt numFmtId="172" formatCode="\₹#,##0;[RED]&quot;(₹&quot;#,##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CA3A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3C6E"/>
        <bgColor rgb="FF0D47A1"/>
      </patternFill>
    </fill>
    <fill>
      <patternFill patternType="solid">
        <fgColor rgb="FFE9845A"/>
        <bgColor rgb="FFFF9900"/>
      </patternFill>
    </fill>
    <fill>
      <patternFill patternType="solid">
        <fgColor rgb="FF4A90D9"/>
        <bgColor rgb="FF4A6FA5"/>
      </patternFill>
    </fill>
    <fill>
      <patternFill patternType="solid">
        <fgColor rgb="FF2ECC71"/>
        <bgColor rgb="FF388E3C"/>
      </patternFill>
    </fill>
    <fill>
      <patternFill patternType="solid">
        <fgColor rgb="FF2D5FA6"/>
        <bgColor rgb="FF1565C0"/>
      </patternFill>
    </fill>
    <fill>
      <patternFill patternType="solid">
        <fgColor rgb="FF4A6FA5"/>
        <bgColor rgb="FF2D5FA6"/>
      </patternFill>
    </fill>
    <fill>
      <patternFill patternType="solid">
        <fgColor rgb="FFFFFFFF"/>
        <bgColor rgb="FFF1F8E9"/>
      </patternFill>
    </fill>
    <fill>
      <patternFill patternType="solid">
        <fgColor rgb="FFF0F4FA"/>
        <bgColor rgb="FFF1F8E9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F1F8E9"/>
        <bgColor rgb="FFF0F4FA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F0F4FA"/>
      </patternFill>
    </fill>
    <fill>
      <patternFill patternType="solid">
        <fgColor rgb="FF0D47A1"/>
        <bgColor rgb="FF1A3C6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2D5FA6"/>
      <rgbColor rgb="FFC0C0C0"/>
      <rgbColor rgb="FF4A6FA5"/>
      <rgbColor rgb="FF4A90D9"/>
      <rgbColor rgb="FF993366"/>
      <rgbColor rgb="FFF1F8E9"/>
      <rgbColor rgb="FFE3F2FD"/>
      <rgbColor rgb="FF660066"/>
      <rgbColor rgb="FFE9845A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CCFFCC"/>
      <rgbColor rgb="FFFFFF99"/>
      <rgbColor rgb="FF99CCFF"/>
      <rgbColor rgb="FFFF99CC"/>
      <rgbColor rgb="FFCC99FF"/>
      <rgbColor rgb="FFFFCC99"/>
      <rgbColor rgb="FF1976D2"/>
      <rgbColor rgb="FF2ECC71"/>
      <rgbColor rgb="FF99CC00"/>
      <rgbColor rgb="FFFFCC00"/>
      <rgbColor rgb="FFFF9900"/>
      <rgbColor rgb="FFFF6600"/>
      <rgbColor rgb="FF6B7280"/>
      <rgbColor rgb="FF9CA3AF"/>
      <rgbColor rgb="FF1A3C6E"/>
      <rgbColor rgb="FF388E3C"/>
      <rgbColor rgb="FF003300"/>
      <rgbColor rgb="FF333300"/>
      <rgbColor rgb="FF993300"/>
      <rgbColor rgb="FF993366"/>
      <rgbColor rgb="FF0D47A1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6E"/>
    <pageSetUpPr fitToPage="false"/>
  </sheetPr>
  <dimension ref="A1:N2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true" outlineLevel="0" max="10" min="9" style="0" width="13"/>
    <col collapsed="false" customWidth="true" hidden="false" outlineLevel="0" max="11" min="11" style="0" width="3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9.75" hidden="false" customHeight="true" outlineLevel="0" collapsed="false">
      <c r="I1" s="0" t="s">
        <v>0</v>
      </c>
      <c r="J1" s="0" t="s">
        <v>1</v>
      </c>
    </row>
    <row r="2" customFormat="false" ht="43.5" hidden="false" customHeight="true" outlineLevel="0" collapsed="false">
      <c r="B2" s="1" t="s">
        <v>2</v>
      </c>
      <c r="C2" s="1"/>
      <c r="D2" s="1"/>
      <c r="E2" s="1"/>
      <c r="F2" s="1"/>
      <c r="G2" s="1"/>
      <c r="I2" s="2" t="s">
        <v>3</v>
      </c>
      <c r="J2" s="2" t="s">
        <v>4</v>
      </c>
    </row>
    <row r="3" customFormat="false" ht="9.75" hidden="false" customHeight="true" outlineLevel="0" collapsed="false">
      <c r="I3" s="0" t="s">
        <v>5</v>
      </c>
      <c r="J3" s="0" t="s">
        <v>6</v>
      </c>
    </row>
    <row r="4" customFormat="false" ht="13.5" hidden="false" customHeight="true" outlineLevel="0" collapsed="false">
      <c r="B4" s="3" t="s">
        <v>7</v>
      </c>
      <c r="C4" s="3"/>
      <c r="D4" s="3"/>
      <c r="E4" s="3"/>
      <c r="F4" s="3"/>
      <c r="G4" s="3"/>
      <c r="I4" s="2" t="s">
        <v>8</v>
      </c>
      <c r="J4" s="2" t="s">
        <v>9</v>
      </c>
    </row>
    <row r="5" customFormat="false" ht="7.5" hidden="false" customHeight="true" outlineLevel="0" collapsed="false">
      <c r="I5" s="0" t="s">
        <v>10</v>
      </c>
      <c r="J5" s="0" t="s">
        <v>11</v>
      </c>
    </row>
    <row r="6" customFormat="false" ht="33.75" hidden="false" customHeight="true" outlineLevel="0" collapsed="false">
      <c r="B6" s="4" t="s">
        <v>12</v>
      </c>
      <c r="C6" s="4"/>
      <c r="D6" s="5" t="s">
        <v>13</v>
      </c>
      <c r="E6" s="5"/>
      <c r="F6" s="6" t="s">
        <v>14</v>
      </c>
      <c r="G6" s="6"/>
      <c r="I6" s="2" t="s">
        <v>15</v>
      </c>
      <c r="J6" s="2" t="s">
        <v>16</v>
      </c>
      <c r="L6" s="7" t="s">
        <v>17</v>
      </c>
      <c r="M6" s="7"/>
      <c r="N6" s="7"/>
    </row>
    <row r="7" customFormat="false" ht="21.75" hidden="false" customHeight="true" outlineLevel="0" collapsed="false">
      <c r="B7" s="8" t="n">
        <f aca="false">IFERROR(SUM(F13:F212),0)</f>
        <v>12528</v>
      </c>
      <c r="C7" s="8"/>
      <c r="D7" s="9" t="n">
        <f aca="true">IFERROR(SUMPRODUCT((MONTH(B13:B212)=MONTH(TODAY()))*(YEAR(B13:B212)=YEAR(TODAY()))*F13:F212),0)</f>
        <v>12528</v>
      </c>
      <c r="E7" s="9"/>
      <c r="F7" s="10" t="n">
        <f aca="false">COUNTA(C13:C212)</f>
        <v>8</v>
      </c>
      <c r="G7" s="10"/>
      <c r="I7" s="2" t="s">
        <v>18</v>
      </c>
      <c r="L7" s="11" t="s">
        <v>19</v>
      </c>
      <c r="M7" s="11" t="s">
        <v>20</v>
      </c>
      <c r="N7" s="11" t="s">
        <v>21</v>
      </c>
    </row>
    <row r="8" customFormat="false" ht="19.5" hidden="false" customHeight="true" outlineLevel="0" collapsed="false">
      <c r="I8" s="0" t="s">
        <v>22</v>
      </c>
      <c r="L8" s="12" t="s">
        <v>0</v>
      </c>
      <c r="M8" s="13" t="n">
        <f aca="false">IFERROR(SUMIF(D13:D212,L8,F13:F212),0)</f>
        <v>2300</v>
      </c>
      <c r="N8" s="14" t="n">
        <f aca="false">IFERROR(M8/SUM(M8:M20),0)</f>
        <v>0.183588761174968</v>
      </c>
    </row>
    <row r="9" customFormat="false" ht="19.5" hidden="false" customHeight="true" outlineLevel="0" collapsed="false">
      <c r="A9" s="15" t="s">
        <v>23</v>
      </c>
      <c r="B9" s="15" t="s">
        <v>24</v>
      </c>
      <c r="C9" s="15" t="s">
        <v>25</v>
      </c>
      <c r="D9" s="15" t="s">
        <v>19</v>
      </c>
      <c r="E9" s="15" t="s">
        <v>26</v>
      </c>
      <c r="F9" s="15" t="s">
        <v>27</v>
      </c>
      <c r="G9" s="15" t="s">
        <v>28</v>
      </c>
      <c r="I9" s="2" t="s">
        <v>29</v>
      </c>
      <c r="L9" s="16" t="s">
        <v>3</v>
      </c>
      <c r="M9" s="17" t="n">
        <f aca="false">IFERROR(SUMIF(D13:D212,L9,F13:F212),0)</f>
        <v>2880</v>
      </c>
      <c r="N9" s="18" t="n">
        <f aca="false">IFERROR(M9/SUM(M8:M20),0)</f>
        <v>0.229885057471264</v>
      </c>
    </row>
    <row r="10" customFormat="false" ht="19.5" hidden="false" customHeight="true" outlineLevel="0" collapsed="false">
      <c r="I10" s="0" t="s">
        <v>30</v>
      </c>
      <c r="L10" s="12" t="s">
        <v>5</v>
      </c>
      <c r="M10" s="13" t="n">
        <f aca="false">IFERROR(SUMIF(D13:D212,L10,F13:F212),0)</f>
        <v>1200</v>
      </c>
      <c r="N10" s="14" t="n">
        <f aca="false">IFERROR(M10/SUM(M8:M20),0)</f>
        <v>0.0957854406130268</v>
      </c>
    </row>
    <row r="11" customFormat="false" ht="19.5" hidden="false" customHeight="true" outlineLevel="0" collapsed="false">
      <c r="I11" s="0" t="s">
        <v>31</v>
      </c>
      <c r="L11" s="16" t="s">
        <v>8</v>
      </c>
      <c r="M11" s="17" t="n">
        <f aca="false">IFERROR(SUMIF(D13:D212,L11,F13:F212),0)</f>
        <v>0</v>
      </c>
      <c r="N11" s="18" t="n">
        <f aca="false">IFERROR(M11/SUM(M8:M20),0)</f>
        <v>0</v>
      </c>
    </row>
    <row r="12" customFormat="false" ht="19.5" hidden="false" customHeight="true" outlineLevel="0" collapsed="false">
      <c r="I12" s="0" t="s">
        <v>32</v>
      </c>
      <c r="L12" s="12" t="s">
        <v>10</v>
      </c>
      <c r="M12" s="13" t="n">
        <f aca="false">IFERROR(SUMIF(D13:D212,L12,F13:F212),0)</f>
        <v>0</v>
      </c>
      <c r="N12" s="14" t="n">
        <f aca="false">IFERROR(M12/SUM(M8:M20),0)</f>
        <v>0</v>
      </c>
    </row>
    <row r="13" customFormat="false" ht="19.5" hidden="false" customHeight="true" outlineLevel="0" collapsed="false">
      <c r="A13" s="19" t="n">
        <v>1</v>
      </c>
      <c r="B13" s="20" t="n">
        <v>46174</v>
      </c>
      <c r="C13" s="21" t="s">
        <v>33</v>
      </c>
      <c r="D13" s="22" t="s">
        <v>0</v>
      </c>
      <c r="E13" s="22" t="s">
        <v>4</v>
      </c>
      <c r="F13" s="23" t="n">
        <v>1450</v>
      </c>
      <c r="G13" s="22" t="s">
        <v>34</v>
      </c>
      <c r="I13" s="2" t="s">
        <v>35</v>
      </c>
      <c r="L13" s="16" t="s">
        <v>15</v>
      </c>
      <c r="M13" s="17" t="n">
        <f aca="false">IFERROR(SUMIF(D13:D212,L13,F13:F212),0)</f>
        <v>0</v>
      </c>
      <c r="N13" s="18" t="n">
        <f aca="false">IFERROR(M13/SUM(M8:M20),0)</f>
        <v>0</v>
      </c>
    </row>
    <row r="14" customFormat="false" ht="19.5" hidden="false" customHeight="true" outlineLevel="0" collapsed="false">
      <c r="A14" s="24" t="n">
        <v>2</v>
      </c>
      <c r="B14" s="25" t="n">
        <v>46175</v>
      </c>
      <c r="C14" s="26" t="s">
        <v>36</v>
      </c>
      <c r="D14" s="27" t="s">
        <v>3</v>
      </c>
      <c r="E14" s="27" t="s">
        <v>6</v>
      </c>
      <c r="F14" s="28" t="n">
        <v>680</v>
      </c>
      <c r="G14" s="27" t="s">
        <v>37</v>
      </c>
      <c r="L14" s="12" t="s">
        <v>18</v>
      </c>
      <c r="M14" s="13" t="n">
        <f aca="false">IFERROR(SUMIF(D13:D212,L14,F13:F212),0)</f>
        <v>0</v>
      </c>
      <c r="N14" s="14" t="n">
        <f aca="false">IFERROR(M14/SUM(M8:M20),0)</f>
        <v>0</v>
      </c>
    </row>
    <row r="15" customFormat="false" ht="19.5" hidden="false" customHeight="true" outlineLevel="0" collapsed="false">
      <c r="A15" s="19" t="n">
        <v>3</v>
      </c>
      <c r="B15" s="20" t="n">
        <v>46176</v>
      </c>
      <c r="C15" s="21" t="s">
        <v>38</v>
      </c>
      <c r="D15" s="22" t="s">
        <v>5</v>
      </c>
      <c r="E15" s="22" t="s">
        <v>11</v>
      </c>
      <c r="F15" s="23" t="n">
        <v>1200</v>
      </c>
      <c r="G15" s="22" t="s">
        <v>39</v>
      </c>
      <c r="L15" s="16" t="s">
        <v>22</v>
      </c>
      <c r="M15" s="17" t="n">
        <f aca="false">IFERROR(SUMIF(D13:D212,L15,F13:F212),0)</f>
        <v>0</v>
      </c>
      <c r="N15" s="18" t="n">
        <f aca="false">IFERROR(M15/SUM(M8:M20),0)</f>
        <v>0</v>
      </c>
    </row>
    <row r="16" customFormat="false" ht="19.5" hidden="false" customHeight="true" outlineLevel="0" collapsed="false">
      <c r="A16" s="24" t="n">
        <v>4</v>
      </c>
      <c r="B16" s="25" t="n">
        <v>46178</v>
      </c>
      <c r="C16" s="26" t="s">
        <v>40</v>
      </c>
      <c r="D16" s="27" t="s">
        <v>30</v>
      </c>
      <c r="E16" s="27" t="s">
        <v>6</v>
      </c>
      <c r="F16" s="28" t="n">
        <v>649</v>
      </c>
      <c r="G16" s="27" t="s">
        <v>41</v>
      </c>
      <c r="L16" s="12" t="s">
        <v>29</v>
      </c>
      <c r="M16" s="13" t="n">
        <f aca="false">IFERROR(SUMIF(D13:D212,L16,F13:F212),0)</f>
        <v>1500</v>
      </c>
      <c r="N16" s="14" t="n">
        <f aca="false">IFERROR(M16/SUM(M8:M20),0)</f>
        <v>0.119731800766284</v>
      </c>
    </row>
    <row r="17" customFormat="false" ht="19.5" hidden="false" customHeight="true" outlineLevel="0" collapsed="false">
      <c r="A17" s="19" t="n">
        <v>5</v>
      </c>
      <c r="B17" s="20" t="n">
        <v>46179</v>
      </c>
      <c r="C17" s="21" t="s">
        <v>42</v>
      </c>
      <c r="D17" s="22" t="s">
        <v>0</v>
      </c>
      <c r="E17" s="22" t="s">
        <v>1</v>
      </c>
      <c r="F17" s="23" t="n">
        <v>850</v>
      </c>
      <c r="G17" s="22" t="s">
        <v>43</v>
      </c>
      <c r="L17" s="16" t="s">
        <v>30</v>
      </c>
      <c r="M17" s="17" t="n">
        <f aca="false">IFERROR(SUMIF(D13:D212,L17,F13:F212),0)</f>
        <v>4648</v>
      </c>
      <c r="N17" s="18" t="n">
        <f aca="false">IFERROR(M17/SUM(M8:M20),0)</f>
        <v>0.371008939974457</v>
      </c>
    </row>
    <row r="18" customFormat="false" ht="19.5" hidden="false" customHeight="true" outlineLevel="0" collapsed="false">
      <c r="A18" s="24" t="n">
        <v>6</v>
      </c>
      <c r="B18" s="25" t="n">
        <v>46181</v>
      </c>
      <c r="C18" s="26" t="s">
        <v>44</v>
      </c>
      <c r="D18" s="27" t="s">
        <v>30</v>
      </c>
      <c r="E18" s="27" t="s">
        <v>6</v>
      </c>
      <c r="F18" s="28" t="n">
        <v>3999</v>
      </c>
      <c r="G18" s="27" t="s">
        <v>45</v>
      </c>
      <c r="L18" s="12" t="s">
        <v>31</v>
      </c>
      <c r="M18" s="13" t="n">
        <f aca="false">IFERROR(SUMIF(D13:D212,L18,F13:F212),0)</f>
        <v>0</v>
      </c>
      <c r="N18" s="14" t="n">
        <f aca="false">IFERROR(M18/SUM(M8:M20),0)</f>
        <v>0</v>
      </c>
    </row>
    <row r="19" customFormat="false" ht="19.5" hidden="false" customHeight="true" outlineLevel="0" collapsed="false">
      <c r="A19" s="19" t="n">
        <v>7</v>
      </c>
      <c r="B19" s="20" t="n">
        <v>46183</v>
      </c>
      <c r="C19" s="21" t="s">
        <v>46</v>
      </c>
      <c r="D19" s="22" t="s">
        <v>3</v>
      </c>
      <c r="E19" s="22" t="s">
        <v>4</v>
      </c>
      <c r="F19" s="23" t="n">
        <v>2200</v>
      </c>
      <c r="G19" s="22" t="s">
        <v>47</v>
      </c>
      <c r="L19" s="16" t="s">
        <v>32</v>
      </c>
      <c r="M19" s="17" t="n">
        <f aca="false">IFERROR(SUMIF(D13:D212,L19,F13:F212),0)</f>
        <v>0</v>
      </c>
      <c r="N19" s="18" t="n">
        <f aca="false">IFERROR(M19/SUM(M8:M20),0)</f>
        <v>0</v>
      </c>
    </row>
    <row r="20" customFormat="false" ht="19.5" hidden="false" customHeight="true" outlineLevel="0" collapsed="false">
      <c r="A20" s="24" t="n">
        <v>8</v>
      </c>
      <c r="B20" s="25" t="n">
        <v>46184</v>
      </c>
      <c r="C20" s="26" t="s">
        <v>48</v>
      </c>
      <c r="D20" s="27" t="s">
        <v>29</v>
      </c>
      <c r="E20" s="27" t="s">
        <v>9</v>
      </c>
      <c r="F20" s="28" t="n">
        <v>1500</v>
      </c>
      <c r="G20" s="27" t="s">
        <v>49</v>
      </c>
      <c r="L20" s="12" t="s">
        <v>35</v>
      </c>
      <c r="M20" s="13" t="n">
        <f aca="false">IFERROR(SUMIF(D13:D212,L20,F13:F212),0)</f>
        <v>0</v>
      </c>
      <c r="N20" s="14" t="n">
        <f aca="false">IFERROR(M20/SUM(M8:M20),0)</f>
        <v>0</v>
      </c>
    </row>
    <row r="21" customFormat="false" ht="21.75" hidden="false" customHeight="true" outlineLevel="0" collapsed="false">
      <c r="A21" s="19" t="n">
        <v>9</v>
      </c>
      <c r="B21" s="20"/>
      <c r="C21" s="21"/>
      <c r="D21" s="22"/>
      <c r="E21" s="22"/>
      <c r="F21" s="23"/>
      <c r="G21" s="22"/>
      <c r="L21" s="29" t="s">
        <v>50</v>
      </c>
      <c r="M21" s="30" t="n">
        <f aca="false">SUM(M8:M20)</f>
        <v>12528</v>
      </c>
      <c r="N21" s="31" t="n">
        <f aca="false">SUM(N8:N20)</f>
        <v>1</v>
      </c>
    </row>
    <row r="22" customFormat="false" ht="21.75" hidden="false" customHeight="true" outlineLevel="0" collapsed="false">
      <c r="A22" s="24" t="n">
        <v>10</v>
      </c>
      <c r="B22" s="25"/>
      <c r="C22" s="26"/>
      <c r="D22" s="27"/>
      <c r="E22" s="27"/>
      <c r="F22" s="28"/>
      <c r="G22" s="27"/>
    </row>
    <row r="23" customFormat="false" ht="21.75" hidden="false" customHeight="true" outlineLevel="0" collapsed="false">
      <c r="A23" s="19" t="n">
        <v>11</v>
      </c>
      <c r="B23" s="20"/>
      <c r="C23" s="21"/>
      <c r="D23" s="22"/>
      <c r="E23" s="22"/>
      <c r="F23" s="23"/>
      <c r="G23" s="22"/>
    </row>
    <row r="24" customFormat="false" ht="21.75" hidden="false" customHeight="true" outlineLevel="0" collapsed="false">
      <c r="A24" s="24" t="n">
        <v>12</v>
      </c>
      <c r="B24" s="25"/>
      <c r="C24" s="26"/>
      <c r="D24" s="27"/>
      <c r="E24" s="27"/>
      <c r="F24" s="28"/>
      <c r="G24" s="27"/>
    </row>
    <row r="25" customFormat="false" ht="21.75" hidden="false" customHeight="true" outlineLevel="0" collapsed="false">
      <c r="A25" s="19" t="n">
        <v>13</v>
      </c>
      <c r="B25" s="20"/>
      <c r="C25" s="21"/>
      <c r="D25" s="22"/>
      <c r="E25" s="22"/>
      <c r="F25" s="23"/>
      <c r="G25" s="22"/>
    </row>
    <row r="26" customFormat="false" ht="21.75" hidden="false" customHeight="true" outlineLevel="0" collapsed="false">
      <c r="A26" s="24" t="n">
        <v>14</v>
      </c>
      <c r="B26" s="25"/>
      <c r="C26" s="26"/>
      <c r="D26" s="27"/>
      <c r="E26" s="27"/>
      <c r="F26" s="28"/>
      <c r="G26" s="27"/>
    </row>
    <row r="27" customFormat="false" ht="21.75" hidden="false" customHeight="true" outlineLevel="0" collapsed="false">
      <c r="A27" s="19" t="n">
        <v>15</v>
      </c>
      <c r="B27" s="20"/>
      <c r="C27" s="21"/>
      <c r="D27" s="22"/>
      <c r="E27" s="22"/>
      <c r="F27" s="23"/>
      <c r="G27" s="22"/>
    </row>
    <row r="28" customFormat="false" ht="21.75" hidden="false" customHeight="true" outlineLevel="0" collapsed="false">
      <c r="A28" s="24" t="n">
        <v>16</v>
      </c>
      <c r="B28" s="25"/>
      <c r="C28" s="26"/>
      <c r="D28" s="27"/>
      <c r="E28" s="27"/>
      <c r="F28" s="28"/>
      <c r="G28" s="27"/>
    </row>
    <row r="29" customFormat="false" ht="21.75" hidden="false" customHeight="true" outlineLevel="0" collapsed="false">
      <c r="A29" s="19" t="n">
        <v>17</v>
      </c>
      <c r="B29" s="20"/>
      <c r="C29" s="21"/>
      <c r="D29" s="22"/>
      <c r="E29" s="22"/>
      <c r="F29" s="23"/>
      <c r="G29" s="22"/>
    </row>
    <row r="30" customFormat="false" ht="21.75" hidden="false" customHeight="true" outlineLevel="0" collapsed="false">
      <c r="A30" s="24" t="n">
        <v>18</v>
      </c>
      <c r="B30" s="25"/>
      <c r="C30" s="26"/>
      <c r="D30" s="27"/>
      <c r="E30" s="27"/>
      <c r="F30" s="28"/>
      <c r="G30" s="27"/>
    </row>
    <row r="31" customFormat="false" ht="21.75" hidden="false" customHeight="true" outlineLevel="0" collapsed="false">
      <c r="A31" s="19" t="n">
        <v>19</v>
      </c>
      <c r="B31" s="20"/>
      <c r="C31" s="21"/>
      <c r="D31" s="22"/>
      <c r="E31" s="22"/>
      <c r="F31" s="23"/>
      <c r="G31" s="22"/>
    </row>
    <row r="32" customFormat="false" ht="21.75" hidden="false" customHeight="true" outlineLevel="0" collapsed="false">
      <c r="A32" s="24" t="n">
        <v>20</v>
      </c>
      <c r="B32" s="25"/>
      <c r="C32" s="26"/>
      <c r="D32" s="27"/>
      <c r="E32" s="27"/>
      <c r="F32" s="28"/>
      <c r="G32" s="27"/>
    </row>
    <row r="33" customFormat="false" ht="21.75" hidden="false" customHeight="true" outlineLevel="0" collapsed="false">
      <c r="A33" s="19" t="n">
        <v>21</v>
      </c>
      <c r="B33" s="20"/>
      <c r="C33" s="21"/>
      <c r="D33" s="22"/>
      <c r="E33" s="22"/>
      <c r="F33" s="23"/>
      <c r="G33" s="22"/>
    </row>
    <row r="34" customFormat="false" ht="21.75" hidden="false" customHeight="true" outlineLevel="0" collapsed="false">
      <c r="A34" s="24" t="n">
        <v>22</v>
      </c>
      <c r="B34" s="25"/>
      <c r="C34" s="26"/>
      <c r="D34" s="27"/>
      <c r="E34" s="27"/>
      <c r="F34" s="28"/>
      <c r="G34" s="27"/>
    </row>
    <row r="35" customFormat="false" ht="21.75" hidden="false" customHeight="true" outlineLevel="0" collapsed="false">
      <c r="A35" s="19" t="n">
        <v>23</v>
      </c>
      <c r="B35" s="20"/>
      <c r="C35" s="21"/>
      <c r="D35" s="22"/>
      <c r="E35" s="22"/>
      <c r="F35" s="23"/>
      <c r="G35" s="22"/>
    </row>
    <row r="36" customFormat="false" ht="21.75" hidden="false" customHeight="true" outlineLevel="0" collapsed="false">
      <c r="A36" s="24" t="n">
        <v>24</v>
      </c>
      <c r="B36" s="25"/>
      <c r="C36" s="26"/>
      <c r="D36" s="27"/>
      <c r="E36" s="27"/>
      <c r="F36" s="28"/>
      <c r="G36" s="27"/>
    </row>
    <row r="37" customFormat="false" ht="21.75" hidden="false" customHeight="true" outlineLevel="0" collapsed="false">
      <c r="A37" s="19" t="n">
        <v>25</v>
      </c>
      <c r="B37" s="20"/>
      <c r="C37" s="21"/>
      <c r="D37" s="22"/>
      <c r="E37" s="22"/>
      <c r="F37" s="23"/>
      <c r="G37" s="22"/>
    </row>
    <row r="38" customFormat="false" ht="21.75" hidden="false" customHeight="true" outlineLevel="0" collapsed="false">
      <c r="A38" s="24" t="n">
        <v>26</v>
      </c>
      <c r="B38" s="25"/>
      <c r="C38" s="26"/>
      <c r="D38" s="27"/>
      <c r="E38" s="27"/>
      <c r="F38" s="28"/>
      <c r="G38" s="27"/>
    </row>
    <row r="39" customFormat="false" ht="21.75" hidden="false" customHeight="true" outlineLevel="0" collapsed="false">
      <c r="A39" s="19" t="n">
        <v>27</v>
      </c>
      <c r="B39" s="20"/>
      <c r="C39" s="21"/>
      <c r="D39" s="22"/>
      <c r="E39" s="22"/>
      <c r="F39" s="23"/>
      <c r="G39" s="22"/>
    </row>
    <row r="40" customFormat="false" ht="21.75" hidden="false" customHeight="true" outlineLevel="0" collapsed="false">
      <c r="A40" s="24" t="n">
        <v>28</v>
      </c>
      <c r="B40" s="25"/>
      <c r="C40" s="26"/>
      <c r="D40" s="27"/>
      <c r="E40" s="27"/>
      <c r="F40" s="28"/>
      <c r="G40" s="27"/>
    </row>
    <row r="41" customFormat="false" ht="21.75" hidden="false" customHeight="true" outlineLevel="0" collapsed="false">
      <c r="A41" s="19" t="n">
        <v>29</v>
      </c>
      <c r="B41" s="20"/>
      <c r="C41" s="21"/>
      <c r="D41" s="22"/>
      <c r="E41" s="22"/>
      <c r="F41" s="23"/>
      <c r="G41" s="22"/>
    </row>
    <row r="42" customFormat="false" ht="21.75" hidden="false" customHeight="true" outlineLevel="0" collapsed="false">
      <c r="A42" s="24" t="n">
        <v>30</v>
      </c>
      <c r="B42" s="25"/>
      <c r="C42" s="26"/>
      <c r="D42" s="27"/>
      <c r="E42" s="27"/>
      <c r="F42" s="28"/>
      <c r="G42" s="27"/>
    </row>
    <row r="43" customFormat="false" ht="21.75" hidden="false" customHeight="true" outlineLevel="0" collapsed="false">
      <c r="A43" s="19" t="n">
        <v>31</v>
      </c>
      <c r="B43" s="20"/>
      <c r="C43" s="21"/>
      <c r="D43" s="22"/>
      <c r="E43" s="22"/>
      <c r="F43" s="23"/>
      <c r="G43" s="22"/>
    </row>
    <row r="44" customFormat="false" ht="21.75" hidden="false" customHeight="true" outlineLevel="0" collapsed="false">
      <c r="A44" s="24" t="n">
        <v>32</v>
      </c>
      <c r="B44" s="25"/>
      <c r="C44" s="26"/>
      <c r="D44" s="27"/>
      <c r="E44" s="27"/>
      <c r="F44" s="28"/>
      <c r="G44" s="27"/>
    </row>
    <row r="45" customFormat="false" ht="21.75" hidden="false" customHeight="true" outlineLevel="0" collapsed="false">
      <c r="A45" s="19" t="n">
        <v>33</v>
      </c>
      <c r="B45" s="20"/>
      <c r="C45" s="21"/>
      <c r="D45" s="22"/>
      <c r="E45" s="22"/>
      <c r="F45" s="23"/>
      <c r="G45" s="22"/>
    </row>
    <row r="46" customFormat="false" ht="21.75" hidden="false" customHeight="true" outlineLevel="0" collapsed="false">
      <c r="A46" s="24" t="n">
        <v>34</v>
      </c>
      <c r="B46" s="25"/>
      <c r="C46" s="26"/>
      <c r="D46" s="27"/>
      <c r="E46" s="27"/>
      <c r="F46" s="28"/>
      <c r="G46" s="27"/>
    </row>
    <row r="47" customFormat="false" ht="21.75" hidden="false" customHeight="true" outlineLevel="0" collapsed="false">
      <c r="A47" s="19" t="n">
        <v>35</v>
      </c>
      <c r="B47" s="20"/>
      <c r="C47" s="21"/>
      <c r="D47" s="22"/>
      <c r="E47" s="22"/>
      <c r="F47" s="23"/>
      <c r="G47" s="22"/>
    </row>
    <row r="48" customFormat="false" ht="21.75" hidden="false" customHeight="true" outlineLevel="0" collapsed="false">
      <c r="A48" s="24" t="n">
        <v>36</v>
      </c>
      <c r="B48" s="25"/>
      <c r="C48" s="26"/>
      <c r="D48" s="27"/>
      <c r="E48" s="27"/>
      <c r="F48" s="28"/>
      <c r="G48" s="27"/>
    </row>
    <row r="49" customFormat="false" ht="21.75" hidden="false" customHeight="true" outlineLevel="0" collapsed="false">
      <c r="A49" s="19" t="n">
        <v>37</v>
      </c>
      <c r="B49" s="20"/>
      <c r="C49" s="21"/>
      <c r="D49" s="22"/>
      <c r="E49" s="22"/>
      <c r="F49" s="23"/>
      <c r="G49" s="22"/>
    </row>
    <row r="50" customFormat="false" ht="21.75" hidden="false" customHeight="true" outlineLevel="0" collapsed="false">
      <c r="A50" s="24" t="n">
        <v>38</v>
      </c>
      <c r="B50" s="25"/>
      <c r="C50" s="26"/>
      <c r="D50" s="27"/>
      <c r="E50" s="27"/>
      <c r="F50" s="28"/>
      <c r="G50" s="27"/>
    </row>
    <row r="51" customFormat="false" ht="21.75" hidden="false" customHeight="true" outlineLevel="0" collapsed="false">
      <c r="A51" s="19" t="n">
        <v>39</v>
      </c>
      <c r="B51" s="20"/>
      <c r="C51" s="21"/>
      <c r="D51" s="22"/>
      <c r="E51" s="22"/>
      <c r="F51" s="23"/>
      <c r="G51" s="22"/>
    </row>
    <row r="52" customFormat="false" ht="21.75" hidden="false" customHeight="true" outlineLevel="0" collapsed="false">
      <c r="A52" s="24" t="n">
        <v>40</v>
      </c>
      <c r="B52" s="25"/>
      <c r="C52" s="26"/>
      <c r="D52" s="27"/>
      <c r="E52" s="27"/>
      <c r="F52" s="28"/>
      <c r="G52" s="27"/>
    </row>
    <row r="53" customFormat="false" ht="21.75" hidden="false" customHeight="true" outlineLevel="0" collapsed="false">
      <c r="A53" s="19" t="n">
        <v>41</v>
      </c>
      <c r="B53" s="20"/>
      <c r="C53" s="21"/>
      <c r="D53" s="22"/>
      <c r="E53" s="22"/>
      <c r="F53" s="23"/>
      <c r="G53" s="22"/>
    </row>
    <row r="54" customFormat="false" ht="21.75" hidden="false" customHeight="true" outlineLevel="0" collapsed="false">
      <c r="A54" s="24" t="n">
        <v>42</v>
      </c>
      <c r="B54" s="25"/>
      <c r="C54" s="26"/>
      <c r="D54" s="27"/>
      <c r="E54" s="27"/>
      <c r="F54" s="28"/>
      <c r="G54" s="27"/>
    </row>
    <row r="55" customFormat="false" ht="21.75" hidden="false" customHeight="true" outlineLevel="0" collapsed="false">
      <c r="A55" s="19" t="n">
        <v>43</v>
      </c>
      <c r="B55" s="20"/>
      <c r="C55" s="21"/>
      <c r="D55" s="22"/>
      <c r="E55" s="22"/>
      <c r="F55" s="23"/>
      <c r="G55" s="22"/>
    </row>
    <row r="56" customFormat="false" ht="21.75" hidden="false" customHeight="true" outlineLevel="0" collapsed="false">
      <c r="A56" s="24" t="n">
        <v>44</v>
      </c>
      <c r="B56" s="25"/>
      <c r="C56" s="26"/>
      <c r="D56" s="27"/>
      <c r="E56" s="27"/>
      <c r="F56" s="28"/>
      <c r="G56" s="27"/>
    </row>
    <row r="57" customFormat="false" ht="21.75" hidden="false" customHeight="true" outlineLevel="0" collapsed="false">
      <c r="A57" s="19" t="n">
        <v>45</v>
      </c>
      <c r="B57" s="20"/>
      <c r="C57" s="21"/>
      <c r="D57" s="22"/>
      <c r="E57" s="22"/>
      <c r="F57" s="23"/>
      <c r="G57" s="22"/>
    </row>
    <row r="58" customFormat="false" ht="21.75" hidden="false" customHeight="true" outlineLevel="0" collapsed="false">
      <c r="A58" s="24" t="n">
        <v>46</v>
      </c>
      <c r="B58" s="25"/>
      <c r="C58" s="26"/>
      <c r="D58" s="27"/>
      <c r="E58" s="27"/>
      <c r="F58" s="28"/>
      <c r="G58" s="27"/>
    </row>
    <row r="59" customFormat="false" ht="21.75" hidden="false" customHeight="true" outlineLevel="0" collapsed="false">
      <c r="A59" s="19" t="n">
        <v>47</v>
      </c>
      <c r="B59" s="20"/>
      <c r="C59" s="21"/>
      <c r="D59" s="22"/>
      <c r="E59" s="22"/>
      <c r="F59" s="23"/>
      <c r="G59" s="22"/>
    </row>
    <row r="60" customFormat="false" ht="21.75" hidden="false" customHeight="true" outlineLevel="0" collapsed="false">
      <c r="A60" s="24" t="n">
        <v>48</v>
      </c>
      <c r="B60" s="25"/>
      <c r="C60" s="26"/>
      <c r="D60" s="27"/>
      <c r="E60" s="27"/>
      <c r="F60" s="28"/>
      <c r="G60" s="27"/>
    </row>
    <row r="61" customFormat="false" ht="21.75" hidden="false" customHeight="true" outlineLevel="0" collapsed="false">
      <c r="A61" s="19" t="n">
        <v>49</v>
      </c>
      <c r="B61" s="20"/>
      <c r="C61" s="21"/>
      <c r="D61" s="22"/>
      <c r="E61" s="22"/>
      <c r="F61" s="23"/>
      <c r="G61" s="22"/>
    </row>
    <row r="62" customFormat="false" ht="21.75" hidden="false" customHeight="true" outlineLevel="0" collapsed="false">
      <c r="A62" s="24" t="n">
        <v>50</v>
      </c>
      <c r="B62" s="25"/>
      <c r="C62" s="26"/>
      <c r="D62" s="27"/>
      <c r="E62" s="27"/>
      <c r="F62" s="28"/>
      <c r="G62" s="27"/>
    </row>
    <row r="63" customFormat="false" ht="21.75" hidden="false" customHeight="true" outlineLevel="0" collapsed="false">
      <c r="A63" s="19" t="n">
        <v>51</v>
      </c>
      <c r="B63" s="20"/>
      <c r="C63" s="21"/>
      <c r="D63" s="22"/>
      <c r="E63" s="22"/>
      <c r="F63" s="23"/>
      <c r="G63" s="22"/>
    </row>
    <row r="64" customFormat="false" ht="21.75" hidden="false" customHeight="true" outlineLevel="0" collapsed="false">
      <c r="A64" s="24" t="n">
        <v>52</v>
      </c>
      <c r="B64" s="25"/>
      <c r="C64" s="26"/>
      <c r="D64" s="27"/>
      <c r="E64" s="27"/>
      <c r="F64" s="28"/>
      <c r="G64" s="27"/>
    </row>
    <row r="65" customFormat="false" ht="21.75" hidden="false" customHeight="true" outlineLevel="0" collapsed="false">
      <c r="A65" s="19" t="n">
        <v>53</v>
      </c>
      <c r="B65" s="20"/>
      <c r="C65" s="21"/>
      <c r="D65" s="22"/>
      <c r="E65" s="22"/>
      <c r="F65" s="23"/>
      <c r="G65" s="22"/>
    </row>
    <row r="66" customFormat="false" ht="21.75" hidden="false" customHeight="true" outlineLevel="0" collapsed="false">
      <c r="A66" s="24" t="n">
        <v>54</v>
      </c>
      <c r="B66" s="25"/>
      <c r="C66" s="26"/>
      <c r="D66" s="27"/>
      <c r="E66" s="27"/>
      <c r="F66" s="28"/>
      <c r="G66" s="27"/>
    </row>
    <row r="67" customFormat="false" ht="21.75" hidden="false" customHeight="true" outlineLevel="0" collapsed="false">
      <c r="A67" s="19" t="n">
        <v>55</v>
      </c>
      <c r="B67" s="20"/>
      <c r="C67" s="21"/>
      <c r="D67" s="22"/>
      <c r="E67" s="22"/>
      <c r="F67" s="23"/>
      <c r="G67" s="22"/>
    </row>
    <row r="68" customFormat="false" ht="21.75" hidden="false" customHeight="true" outlineLevel="0" collapsed="false">
      <c r="A68" s="24" t="n">
        <v>56</v>
      </c>
      <c r="B68" s="25"/>
      <c r="C68" s="26"/>
      <c r="D68" s="27"/>
      <c r="E68" s="27"/>
      <c r="F68" s="28"/>
      <c r="G68" s="27"/>
    </row>
    <row r="69" customFormat="false" ht="21.75" hidden="false" customHeight="true" outlineLevel="0" collapsed="false">
      <c r="A69" s="19" t="n">
        <v>57</v>
      </c>
      <c r="B69" s="20"/>
      <c r="C69" s="21"/>
      <c r="D69" s="22"/>
      <c r="E69" s="22"/>
      <c r="F69" s="23"/>
      <c r="G69" s="22"/>
    </row>
    <row r="70" customFormat="false" ht="21.75" hidden="false" customHeight="true" outlineLevel="0" collapsed="false">
      <c r="A70" s="24" t="n">
        <v>58</v>
      </c>
      <c r="B70" s="25"/>
      <c r="C70" s="26"/>
      <c r="D70" s="27"/>
      <c r="E70" s="27"/>
      <c r="F70" s="28"/>
      <c r="G70" s="27"/>
    </row>
    <row r="71" customFormat="false" ht="21.75" hidden="false" customHeight="true" outlineLevel="0" collapsed="false">
      <c r="A71" s="19" t="n">
        <v>59</v>
      </c>
      <c r="B71" s="20"/>
      <c r="C71" s="21"/>
      <c r="D71" s="22"/>
      <c r="E71" s="22"/>
      <c r="F71" s="23"/>
      <c r="G71" s="22"/>
    </row>
    <row r="72" customFormat="false" ht="21.75" hidden="false" customHeight="true" outlineLevel="0" collapsed="false">
      <c r="A72" s="24" t="n">
        <v>60</v>
      </c>
      <c r="B72" s="25"/>
      <c r="C72" s="26"/>
      <c r="D72" s="27"/>
      <c r="E72" s="27"/>
      <c r="F72" s="28"/>
      <c r="G72" s="27"/>
    </row>
    <row r="73" customFormat="false" ht="21.75" hidden="false" customHeight="true" outlineLevel="0" collapsed="false">
      <c r="A73" s="19" t="n">
        <v>61</v>
      </c>
      <c r="B73" s="20"/>
      <c r="C73" s="21"/>
      <c r="D73" s="22"/>
      <c r="E73" s="22"/>
      <c r="F73" s="23"/>
      <c r="G73" s="22"/>
    </row>
    <row r="74" customFormat="false" ht="21.75" hidden="false" customHeight="true" outlineLevel="0" collapsed="false">
      <c r="A74" s="24" t="n">
        <v>62</v>
      </c>
      <c r="B74" s="25"/>
      <c r="C74" s="26"/>
      <c r="D74" s="27"/>
      <c r="E74" s="27"/>
      <c r="F74" s="28"/>
      <c r="G74" s="27"/>
    </row>
    <row r="75" customFormat="false" ht="21.75" hidden="false" customHeight="true" outlineLevel="0" collapsed="false">
      <c r="A75" s="19" t="n">
        <v>63</v>
      </c>
      <c r="B75" s="20"/>
      <c r="C75" s="21"/>
      <c r="D75" s="22"/>
      <c r="E75" s="22"/>
      <c r="F75" s="23"/>
      <c r="G75" s="22"/>
    </row>
    <row r="76" customFormat="false" ht="21.75" hidden="false" customHeight="true" outlineLevel="0" collapsed="false">
      <c r="A76" s="24" t="n">
        <v>64</v>
      </c>
      <c r="B76" s="25"/>
      <c r="C76" s="26"/>
      <c r="D76" s="27"/>
      <c r="E76" s="27"/>
      <c r="F76" s="28"/>
      <c r="G76" s="27"/>
    </row>
    <row r="77" customFormat="false" ht="21.75" hidden="false" customHeight="true" outlineLevel="0" collapsed="false">
      <c r="A77" s="19" t="n">
        <v>65</v>
      </c>
      <c r="B77" s="20"/>
      <c r="C77" s="21"/>
      <c r="D77" s="22"/>
      <c r="E77" s="22"/>
      <c r="F77" s="23"/>
      <c r="G77" s="22"/>
    </row>
    <row r="78" customFormat="false" ht="21.75" hidden="false" customHeight="true" outlineLevel="0" collapsed="false">
      <c r="A78" s="24" t="n">
        <v>66</v>
      </c>
      <c r="B78" s="25"/>
      <c r="C78" s="26"/>
      <c r="D78" s="27"/>
      <c r="E78" s="27"/>
      <c r="F78" s="28"/>
      <c r="G78" s="27"/>
    </row>
    <row r="79" customFormat="false" ht="21.75" hidden="false" customHeight="true" outlineLevel="0" collapsed="false">
      <c r="A79" s="19" t="n">
        <v>67</v>
      </c>
      <c r="B79" s="20"/>
      <c r="C79" s="21"/>
      <c r="D79" s="22"/>
      <c r="E79" s="22"/>
      <c r="F79" s="23"/>
      <c r="G79" s="22"/>
    </row>
    <row r="80" customFormat="false" ht="21.75" hidden="false" customHeight="true" outlineLevel="0" collapsed="false">
      <c r="A80" s="24" t="n">
        <v>68</v>
      </c>
      <c r="B80" s="25"/>
      <c r="C80" s="26"/>
      <c r="D80" s="27"/>
      <c r="E80" s="27"/>
      <c r="F80" s="28"/>
      <c r="G80" s="27"/>
    </row>
    <row r="81" customFormat="false" ht="21.75" hidden="false" customHeight="true" outlineLevel="0" collapsed="false">
      <c r="A81" s="19" t="n">
        <v>69</v>
      </c>
      <c r="B81" s="20"/>
      <c r="C81" s="21"/>
      <c r="D81" s="22"/>
      <c r="E81" s="22"/>
      <c r="F81" s="23"/>
      <c r="G81" s="22"/>
    </row>
    <row r="82" customFormat="false" ht="21.75" hidden="false" customHeight="true" outlineLevel="0" collapsed="false">
      <c r="A82" s="24" t="n">
        <v>70</v>
      </c>
      <c r="B82" s="25"/>
      <c r="C82" s="26"/>
      <c r="D82" s="27"/>
      <c r="E82" s="27"/>
      <c r="F82" s="28"/>
      <c r="G82" s="27"/>
    </row>
    <row r="83" customFormat="false" ht="21.75" hidden="false" customHeight="true" outlineLevel="0" collapsed="false">
      <c r="A83" s="19" t="n">
        <v>71</v>
      </c>
      <c r="B83" s="20"/>
      <c r="C83" s="21"/>
      <c r="D83" s="22"/>
      <c r="E83" s="22"/>
      <c r="F83" s="23"/>
      <c r="G83" s="22"/>
    </row>
    <row r="84" customFormat="false" ht="21.75" hidden="false" customHeight="true" outlineLevel="0" collapsed="false">
      <c r="A84" s="24" t="n">
        <v>72</v>
      </c>
      <c r="B84" s="25"/>
      <c r="C84" s="26"/>
      <c r="D84" s="27"/>
      <c r="E84" s="27"/>
      <c r="F84" s="28"/>
      <c r="G84" s="27"/>
    </row>
    <row r="85" customFormat="false" ht="21.75" hidden="false" customHeight="true" outlineLevel="0" collapsed="false">
      <c r="A85" s="19" t="n">
        <v>73</v>
      </c>
      <c r="B85" s="20"/>
      <c r="C85" s="21"/>
      <c r="D85" s="22"/>
      <c r="E85" s="22"/>
      <c r="F85" s="23"/>
      <c r="G85" s="22"/>
    </row>
    <row r="86" customFormat="false" ht="21.75" hidden="false" customHeight="true" outlineLevel="0" collapsed="false">
      <c r="A86" s="24" t="n">
        <v>74</v>
      </c>
      <c r="B86" s="25"/>
      <c r="C86" s="26"/>
      <c r="D86" s="27"/>
      <c r="E86" s="27"/>
      <c r="F86" s="28"/>
      <c r="G86" s="27"/>
    </row>
    <row r="87" customFormat="false" ht="21.75" hidden="false" customHeight="true" outlineLevel="0" collapsed="false">
      <c r="A87" s="19" t="n">
        <v>75</v>
      </c>
      <c r="B87" s="20"/>
      <c r="C87" s="21"/>
      <c r="D87" s="22"/>
      <c r="E87" s="22"/>
      <c r="F87" s="23"/>
      <c r="G87" s="22"/>
    </row>
    <row r="88" customFormat="false" ht="21.75" hidden="false" customHeight="true" outlineLevel="0" collapsed="false">
      <c r="A88" s="24" t="n">
        <v>76</v>
      </c>
      <c r="B88" s="25"/>
      <c r="C88" s="26"/>
      <c r="D88" s="27"/>
      <c r="E88" s="27"/>
      <c r="F88" s="28"/>
      <c r="G88" s="27"/>
    </row>
    <row r="89" customFormat="false" ht="21.75" hidden="false" customHeight="true" outlineLevel="0" collapsed="false">
      <c r="A89" s="19" t="n">
        <v>77</v>
      </c>
      <c r="B89" s="20"/>
      <c r="C89" s="21"/>
      <c r="D89" s="22"/>
      <c r="E89" s="22"/>
      <c r="F89" s="23"/>
      <c r="G89" s="22"/>
    </row>
    <row r="90" customFormat="false" ht="21.75" hidden="false" customHeight="true" outlineLevel="0" collapsed="false">
      <c r="A90" s="24" t="n">
        <v>78</v>
      </c>
      <c r="B90" s="25"/>
      <c r="C90" s="26"/>
      <c r="D90" s="27"/>
      <c r="E90" s="27"/>
      <c r="F90" s="28"/>
      <c r="G90" s="27"/>
    </row>
    <row r="91" customFormat="false" ht="21.75" hidden="false" customHeight="true" outlineLevel="0" collapsed="false">
      <c r="A91" s="19" t="n">
        <v>79</v>
      </c>
      <c r="B91" s="20"/>
      <c r="C91" s="21"/>
      <c r="D91" s="22"/>
      <c r="E91" s="22"/>
      <c r="F91" s="23"/>
      <c r="G91" s="22"/>
    </row>
    <row r="92" customFormat="false" ht="21.75" hidden="false" customHeight="true" outlineLevel="0" collapsed="false">
      <c r="A92" s="24" t="n">
        <v>80</v>
      </c>
      <c r="B92" s="25"/>
      <c r="C92" s="26"/>
      <c r="D92" s="27"/>
      <c r="E92" s="27"/>
      <c r="F92" s="28"/>
      <c r="G92" s="27"/>
    </row>
    <row r="93" customFormat="false" ht="21.75" hidden="false" customHeight="true" outlineLevel="0" collapsed="false">
      <c r="A93" s="19" t="n">
        <v>81</v>
      </c>
      <c r="B93" s="20"/>
      <c r="C93" s="21"/>
      <c r="D93" s="22"/>
      <c r="E93" s="22"/>
      <c r="F93" s="23"/>
      <c r="G93" s="22"/>
    </row>
    <row r="94" customFormat="false" ht="21.75" hidden="false" customHeight="true" outlineLevel="0" collapsed="false">
      <c r="A94" s="24" t="n">
        <v>82</v>
      </c>
      <c r="B94" s="25"/>
      <c r="C94" s="26"/>
      <c r="D94" s="27"/>
      <c r="E94" s="27"/>
      <c r="F94" s="28"/>
      <c r="G94" s="27"/>
    </row>
    <row r="95" customFormat="false" ht="21.75" hidden="false" customHeight="true" outlineLevel="0" collapsed="false">
      <c r="A95" s="19" t="n">
        <v>83</v>
      </c>
      <c r="B95" s="20"/>
      <c r="C95" s="21"/>
      <c r="D95" s="22"/>
      <c r="E95" s="22"/>
      <c r="F95" s="23"/>
      <c r="G95" s="22"/>
    </row>
    <row r="96" customFormat="false" ht="21.75" hidden="false" customHeight="true" outlineLevel="0" collapsed="false">
      <c r="A96" s="24" t="n">
        <v>84</v>
      </c>
      <c r="B96" s="25"/>
      <c r="C96" s="26"/>
      <c r="D96" s="27"/>
      <c r="E96" s="27"/>
      <c r="F96" s="28"/>
      <c r="G96" s="27"/>
    </row>
    <row r="97" customFormat="false" ht="21.75" hidden="false" customHeight="true" outlineLevel="0" collapsed="false">
      <c r="A97" s="19" t="n">
        <v>85</v>
      </c>
      <c r="B97" s="20"/>
      <c r="C97" s="21"/>
      <c r="D97" s="22"/>
      <c r="E97" s="22"/>
      <c r="F97" s="23"/>
      <c r="G97" s="22"/>
    </row>
    <row r="98" customFormat="false" ht="21.75" hidden="false" customHeight="true" outlineLevel="0" collapsed="false">
      <c r="A98" s="24" t="n">
        <v>86</v>
      </c>
      <c r="B98" s="25"/>
      <c r="C98" s="26"/>
      <c r="D98" s="27"/>
      <c r="E98" s="27"/>
      <c r="F98" s="28"/>
      <c r="G98" s="27"/>
    </row>
    <row r="99" customFormat="false" ht="21.75" hidden="false" customHeight="true" outlineLevel="0" collapsed="false">
      <c r="A99" s="19" t="n">
        <v>87</v>
      </c>
      <c r="B99" s="20"/>
      <c r="C99" s="21"/>
      <c r="D99" s="22"/>
      <c r="E99" s="22"/>
      <c r="F99" s="23"/>
      <c r="G99" s="22"/>
    </row>
    <row r="100" customFormat="false" ht="21.75" hidden="false" customHeight="true" outlineLevel="0" collapsed="false">
      <c r="A100" s="24" t="n">
        <v>88</v>
      </c>
      <c r="B100" s="25"/>
      <c r="C100" s="26"/>
      <c r="D100" s="27"/>
      <c r="E100" s="27"/>
      <c r="F100" s="28"/>
      <c r="G100" s="27"/>
    </row>
    <row r="101" customFormat="false" ht="21.75" hidden="false" customHeight="true" outlineLevel="0" collapsed="false">
      <c r="A101" s="19" t="n">
        <v>89</v>
      </c>
      <c r="B101" s="20"/>
      <c r="C101" s="21"/>
      <c r="D101" s="22"/>
      <c r="E101" s="22"/>
      <c r="F101" s="23"/>
      <c r="G101" s="22"/>
    </row>
    <row r="102" customFormat="false" ht="21.75" hidden="false" customHeight="true" outlineLevel="0" collapsed="false">
      <c r="A102" s="24" t="n">
        <v>90</v>
      </c>
      <c r="B102" s="25"/>
      <c r="C102" s="26"/>
      <c r="D102" s="27"/>
      <c r="E102" s="27"/>
      <c r="F102" s="28"/>
      <c r="G102" s="27"/>
    </row>
    <row r="103" customFormat="false" ht="21.75" hidden="false" customHeight="true" outlineLevel="0" collapsed="false">
      <c r="A103" s="19" t="n">
        <v>91</v>
      </c>
      <c r="B103" s="20"/>
      <c r="C103" s="21"/>
      <c r="D103" s="22"/>
      <c r="E103" s="22"/>
      <c r="F103" s="23"/>
      <c r="G103" s="22"/>
    </row>
    <row r="104" customFormat="false" ht="21.75" hidden="false" customHeight="true" outlineLevel="0" collapsed="false">
      <c r="A104" s="24" t="n">
        <v>92</v>
      </c>
      <c r="B104" s="25"/>
      <c r="C104" s="26"/>
      <c r="D104" s="27"/>
      <c r="E104" s="27"/>
      <c r="F104" s="28"/>
      <c r="G104" s="27"/>
    </row>
    <row r="105" customFormat="false" ht="21.75" hidden="false" customHeight="true" outlineLevel="0" collapsed="false">
      <c r="A105" s="19" t="n">
        <v>93</v>
      </c>
      <c r="B105" s="20"/>
      <c r="C105" s="21"/>
      <c r="D105" s="22"/>
      <c r="E105" s="22"/>
      <c r="F105" s="23"/>
      <c r="G105" s="22"/>
    </row>
    <row r="106" customFormat="false" ht="21.75" hidden="false" customHeight="true" outlineLevel="0" collapsed="false">
      <c r="A106" s="24" t="n">
        <v>94</v>
      </c>
      <c r="B106" s="25"/>
      <c r="C106" s="26"/>
      <c r="D106" s="27"/>
      <c r="E106" s="27"/>
      <c r="F106" s="28"/>
      <c r="G106" s="27"/>
    </row>
    <row r="107" customFormat="false" ht="21.75" hidden="false" customHeight="true" outlineLevel="0" collapsed="false">
      <c r="A107" s="19" t="n">
        <v>95</v>
      </c>
      <c r="B107" s="20"/>
      <c r="C107" s="21"/>
      <c r="D107" s="22"/>
      <c r="E107" s="22"/>
      <c r="F107" s="23"/>
      <c r="G107" s="22"/>
    </row>
    <row r="108" customFormat="false" ht="21.75" hidden="false" customHeight="true" outlineLevel="0" collapsed="false">
      <c r="A108" s="24" t="n">
        <v>96</v>
      </c>
      <c r="B108" s="25"/>
      <c r="C108" s="26"/>
      <c r="D108" s="27"/>
      <c r="E108" s="27"/>
      <c r="F108" s="28"/>
      <c r="G108" s="27"/>
    </row>
    <row r="109" customFormat="false" ht="21.75" hidden="false" customHeight="true" outlineLevel="0" collapsed="false">
      <c r="A109" s="19" t="n">
        <v>97</v>
      </c>
      <c r="B109" s="20"/>
      <c r="C109" s="21"/>
      <c r="D109" s="22"/>
      <c r="E109" s="22"/>
      <c r="F109" s="23"/>
      <c r="G109" s="22"/>
    </row>
    <row r="110" customFormat="false" ht="21.75" hidden="false" customHeight="true" outlineLevel="0" collapsed="false">
      <c r="A110" s="24" t="n">
        <v>98</v>
      </c>
      <c r="B110" s="25"/>
      <c r="C110" s="26"/>
      <c r="D110" s="27"/>
      <c r="E110" s="27"/>
      <c r="F110" s="28"/>
      <c r="G110" s="27"/>
    </row>
    <row r="111" customFormat="false" ht="21.75" hidden="false" customHeight="true" outlineLevel="0" collapsed="false">
      <c r="A111" s="19" t="n">
        <v>99</v>
      </c>
      <c r="B111" s="20"/>
      <c r="C111" s="21"/>
      <c r="D111" s="22"/>
      <c r="E111" s="22"/>
      <c r="F111" s="23"/>
      <c r="G111" s="22"/>
    </row>
    <row r="112" customFormat="false" ht="21.75" hidden="false" customHeight="true" outlineLevel="0" collapsed="false">
      <c r="A112" s="24" t="n">
        <v>100</v>
      </c>
      <c r="B112" s="25"/>
      <c r="C112" s="26"/>
      <c r="D112" s="27"/>
      <c r="E112" s="27"/>
      <c r="F112" s="28"/>
      <c r="G112" s="27"/>
    </row>
    <row r="113" customFormat="false" ht="21.75" hidden="false" customHeight="true" outlineLevel="0" collapsed="false">
      <c r="A113" s="19" t="n">
        <v>101</v>
      </c>
      <c r="B113" s="20"/>
      <c r="C113" s="21"/>
      <c r="D113" s="22"/>
      <c r="E113" s="22"/>
      <c r="F113" s="23"/>
      <c r="G113" s="22"/>
    </row>
    <row r="114" customFormat="false" ht="21.75" hidden="false" customHeight="true" outlineLevel="0" collapsed="false">
      <c r="A114" s="24" t="n">
        <v>102</v>
      </c>
      <c r="B114" s="25"/>
      <c r="C114" s="26"/>
      <c r="D114" s="27"/>
      <c r="E114" s="27"/>
      <c r="F114" s="28"/>
      <c r="G114" s="27"/>
    </row>
    <row r="115" customFormat="false" ht="21.75" hidden="false" customHeight="true" outlineLevel="0" collapsed="false">
      <c r="A115" s="19" t="n">
        <v>103</v>
      </c>
      <c r="B115" s="20"/>
      <c r="C115" s="21"/>
      <c r="D115" s="22"/>
      <c r="E115" s="22"/>
      <c r="F115" s="23"/>
      <c r="G115" s="22"/>
    </row>
    <row r="116" customFormat="false" ht="21.75" hidden="false" customHeight="true" outlineLevel="0" collapsed="false">
      <c r="A116" s="24" t="n">
        <v>104</v>
      </c>
      <c r="B116" s="25"/>
      <c r="C116" s="26"/>
      <c r="D116" s="27"/>
      <c r="E116" s="27"/>
      <c r="F116" s="28"/>
      <c r="G116" s="27"/>
    </row>
    <row r="117" customFormat="false" ht="21.75" hidden="false" customHeight="true" outlineLevel="0" collapsed="false">
      <c r="A117" s="19" t="n">
        <v>105</v>
      </c>
      <c r="B117" s="20"/>
      <c r="C117" s="21"/>
      <c r="D117" s="22"/>
      <c r="E117" s="22"/>
      <c r="F117" s="23"/>
      <c r="G117" s="22"/>
    </row>
    <row r="118" customFormat="false" ht="21.75" hidden="false" customHeight="true" outlineLevel="0" collapsed="false">
      <c r="A118" s="24" t="n">
        <v>106</v>
      </c>
      <c r="B118" s="25"/>
      <c r="C118" s="26"/>
      <c r="D118" s="27"/>
      <c r="E118" s="27"/>
      <c r="F118" s="28"/>
      <c r="G118" s="27"/>
    </row>
    <row r="119" customFormat="false" ht="21.75" hidden="false" customHeight="true" outlineLevel="0" collapsed="false">
      <c r="A119" s="19" t="n">
        <v>107</v>
      </c>
      <c r="B119" s="20"/>
      <c r="C119" s="21"/>
      <c r="D119" s="22"/>
      <c r="E119" s="22"/>
      <c r="F119" s="23"/>
      <c r="G119" s="22"/>
    </row>
    <row r="120" customFormat="false" ht="21.75" hidden="false" customHeight="true" outlineLevel="0" collapsed="false">
      <c r="A120" s="24" t="n">
        <v>108</v>
      </c>
      <c r="B120" s="25"/>
      <c r="C120" s="26"/>
      <c r="D120" s="27"/>
      <c r="E120" s="27"/>
      <c r="F120" s="28"/>
      <c r="G120" s="27"/>
    </row>
    <row r="121" customFormat="false" ht="21.75" hidden="false" customHeight="true" outlineLevel="0" collapsed="false">
      <c r="A121" s="19" t="n">
        <v>109</v>
      </c>
      <c r="B121" s="20"/>
      <c r="C121" s="21"/>
      <c r="D121" s="22"/>
      <c r="E121" s="22"/>
      <c r="F121" s="23"/>
      <c r="G121" s="22"/>
    </row>
    <row r="122" customFormat="false" ht="21.75" hidden="false" customHeight="true" outlineLevel="0" collapsed="false">
      <c r="A122" s="24" t="n">
        <v>110</v>
      </c>
      <c r="B122" s="25"/>
      <c r="C122" s="26"/>
      <c r="D122" s="27"/>
      <c r="E122" s="27"/>
      <c r="F122" s="28"/>
      <c r="G122" s="27"/>
    </row>
    <row r="123" customFormat="false" ht="21.75" hidden="false" customHeight="true" outlineLevel="0" collapsed="false">
      <c r="A123" s="19" t="n">
        <v>111</v>
      </c>
      <c r="B123" s="20"/>
      <c r="C123" s="21"/>
      <c r="D123" s="22"/>
      <c r="E123" s="22"/>
      <c r="F123" s="23"/>
      <c r="G123" s="22"/>
    </row>
    <row r="124" customFormat="false" ht="21.75" hidden="false" customHeight="true" outlineLevel="0" collapsed="false">
      <c r="A124" s="24" t="n">
        <v>112</v>
      </c>
      <c r="B124" s="25"/>
      <c r="C124" s="26"/>
      <c r="D124" s="27"/>
      <c r="E124" s="27"/>
      <c r="F124" s="28"/>
      <c r="G124" s="27"/>
    </row>
    <row r="125" customFormat="false" ht="21.75" hidden="false" customHeight="true" outlineLevel="0" collapsed="false">
      <c r="A125" s="19" t="n">
        <v>113</v>
      </c>
      <c r="B125" s="20"/>
      <c r="C125" s="21"/>
      <c r="D125" s="22"/>
      <c r="E125" s="22"/>
      <c r="F125" s="23"/>
      <c r="G125" s="22"/>
    </row>
    <row r="126" customFormat="false" ht="21.75" hidden="false" customHeight="true" outlineLevel="0" collapsed="false">
      <c r="A126" s="24" t="n">
        <v>114</v>
      </c>
      <c r="B126" s="25"/>
      <c r="C126" s="26"/>
      <c r="D126" s="27"/>
      <c r="E126" s="27"/>
      <c r="F126" s="28"/>
      <c r="G126" s="27"/>
    </row>
    <row r="127" customFormat="false" ht="21.75" hidden="false" customHeight="true" outlineLevel="0" collapsed="false">
      <c r="A127" s="19" t="n">
        <v>115</v>
      </c>
      <c r="B127" s="20"/>
      <c r="C127" s="21"/>
      <c r="D127" s="22"/>
      <c r="E127" s="22"/>
      <c r="F127" s="23"/>
      <c r="G127" s="22"/>
    </row>
    <row r="128" customFormat="false" ht="21.75" hidden="false" customHeight="true" outlineLevel="0" collapsed="false">
      <c r="A128" s="24" t="n">
        <v>116</v>
      </c>
      <c r="B128" s="25"/>
      <c r="C128" s="26"/>
      <c r="D128" s="27"/>
      <c r="E128" s="27"/>
      <c r="F128" s="28"/>
      <c r="G128" s="27"/>
    </row>
    <row r="129" customFormat="false" ht="21.75" hidden="false" customHeight="true" outlineLevel="0" collapsed="false">
      <c r="A129" s="19" t="n">
        <v>117</v>
      </c>
      <c r="B129" s="20"/>
      <c r="C129" s="21"/>
      <c r="D129" s="22"/>
      <c r="E129" s="22"/>
      <c r="F129" s="23"/>
      <c r="G129" s="22"/>
    </row>
    <row r="130" customFormat="false" ht="21.75" hidden="false" customHeight="true" outlineLevel="0" collapsed="false">
      <c r="A130" s="24" t="n">
        <v>118</v>
      </c>
      <c r="B130" s="25"/>
      <c r="C130" s="26"/>
      <c r="D130" s="27"/>
      <c r="E130" s="27"/>
      <c r="F130" s="28"/>
      <c r="G130" s="27"/>
    </row>
    <row r="131" customFormat="false" ht="21.75" hidden="false" customHeight="true" outlineLevel="0" collapsed="false">
      <c r="A131" s="19" t="n">
        <v>119</v>
      </c>
      <c r="B131" s="20"/>
      <c r="C131" s="21"/>
      <c r="D131" s="22"/>
      <c r="E131" s="22"/>
      <c r="F131" s="23"/>
      <c r="G131" s="22"/>
    </row>
    <row r="132" customFormat="false" ht="21.75" hidden="false" customHeight="true" outlineLevel="0" collapsed="false">
      <c r="A132" s="24" t="n">
        <v>120</v>
      </c>
      <c r="B132" s="25"/>
      <c r="C132" s="26"/>
      <c r="D132" s="27"/>
      <c r="E132" s="27"/>
      <c r="F132" s="28"/>
      <c r="G132" s="27"/>
    </row>
    <row r="133" customFormat="false" ht="21.75" hidden="false" customHeight="true" outlineLevel="0" collapsed="false">
      <c r="A133" s="19" t="n">
        <v>121</v>
      </c>
      <c r="B133" s="20"/>
      <c r="C133" s="21"/>
      <c r="D133" s="22"/>
      <c r="E133" s="22"/>
      <c r="F133" s="23"/>
      <c r="G133" s="22"/>
    </row>
    <row r="134" customFormat="false" ht="21.75" hidden="false" customHeight="true" outlineLevel="0" collapsed="false">
      <c r="A134" s="24" t="n">
        <v>122</v>
      </c>
      <c r="B134" s="25"/>
      <c r="C134" s="26"/>
      <c r="D134" s="27"/>
      <c r="E134" s="27"/>
      <c r="F134" s="28"/>
      <c r="G134" s="27"/>
    </row>
    <row r="135" customFormat="false" ht="21.75" hidden="false" customHeight="true" outlineLevel="0" collapsed="false">
      <c r="A135" s="19" t="n">
        <v>123</v>
      </c>
      <c r="B135" s="20"/>
      <c r="C135" s="21"/>
      <c r="D135" s="22"/>
      <c r="E135" s="22"/>
      <c r="F135" s="23"/>
      <c r="G135" s="22"/>
    </row>
    <row r="136" customFormat="false" ht="21.75" hidden="false" customHeight="true" outlineLevel="0" collapsed="false">
      <c r="A136" s="24" t="n">
        <v>124</v>
      </c>
      <c r="B136" s="25"/>
      <c r="C136" s="26"/>
      <c r="D136" s="27"/>
      <c r="E136" s="27"/>
      <c r="F136" s="28"/>
      <c r="G136" s="27"/>
    </row>
    <row r="137" customFormat="false" ht="21.75" hidden="false" customHeight="true" outlineLevel="0" collapsed="false">
      <c r="A137" s="19" t="n">
        <v>125</v>
      </c>
      <c r="B137" s="20"/>
      <c r="C137" s="21"/>
      <c r="D137" s="22"/>
      <c r="E137" s="22"/>
      <c r="F137" s="23"/>
      <c r="G137" s="22"/>
    </row>
    <row r="138" customFormat="false" ht="21.75" hidden="false" customHeight="true" outlineLevel="0" collapsed="false">
      <c r="A138" s="24" t="n">
        <v>126</v>
      </c>
      <c r="B138" s="25"/>
      <c r="C138" s="26"/>
      <c r="D138" s="27"/>
      <c r="E138" s="27"/>
      <c r="F138" s="28"/>
      <c r="G138" s="27"/>
    </row>
    <row r="139" customFormat="false" ht="21.75" hidden="false" customHeight="true" outlineLevel="0" collapsed="false">
      <c r="A139" s="19" t="n">
        <v>127</v>
      </c>
      <c r="B139" s="20"/>
      <c r="C139" s="21"/>
      <c r="D139" s="22"/>
      <c r="E139" s="22"/>
      <c r="F139" s="23"/>
      <c r="G139" s="22"/>
    </row>
    <row r="140" customFormat="false" ht="21.75" hidden="false" customHeight="true" outlineLevel="0" collapsed="false">
      <c r="A140" s="24" t="n">
        <v>128</v>
      </c>
      <c r="B140" s="25"/>
      <c r="C140" s="26"/>
      <c r="D140" s="27"/>
      <c r="E140" s="27"/>
      <c r="F140" s="28"/>
      <c r="G140" s="27"/>
    </row>
    <row r="141" customFormat="false" ht="21.75" hidden="false" customHeight="true" outlineLevel="0" collapsed="false">
      <c r="A141" s="19" t="n">
        <v>129</v>
      </c>
      <c r="B141" s="20"/>
      <c r="C141" s="21"/>
      <c r="D141" s="22"/>
      <c r="E141" s="22"/>
      <c r="F141" s="23"/>
      <c r="G141" s="22"/>
    </row>
    <row r="142" customFormat="false" ht="21.75" hidden="false" customHeight="true" outlineLevel="0" collapsed="false">
      <c r="A142" s="24" t="n">
        <v>130</v>
      </c>
      <c r="B142" s="25"/>
      <c r="C142" s="26"/>
      <c r="D142" s="27"/>
      <c r="E142" s="27"/>
      <c r="F142" s="28"/>
      <c r="G142" s="27"/>
    </row>
    <row r="143" customFormat="false" ht="21.75" hidden="false" customHeight="true" outlineLevel="0" collapsed="false">
      <c r="A143" s="19" t="n">
        <v>131</v>
      </c>
      <c r="B143" s="20"/>
      <c r="C143" s="21"/>
      <c r="D143" s="22"/>
      <c r="E143" s="22"/>
      <c r="F143" s="23"/>
      <c r="G143" s="22"/>
    </row>
    <row r="144" customFormat="false" ht="21.75" hidden="false" customHeight="true" outlineLevel="0" collapsed="false">
      <c r="A144" s="24" t="n">
        <v>132</v>
      </c>
      <c r="B144" s="25"/>
      <c r="C144" s="26"/>
      <c r="D144" s="27"/>
      <c r="E144" s="27"/>
      <c r="F144" s="28"/>
      <c r="G144" s="27"/>
    </row>
    <row r="145" customFormat="false" ht="21.75" hidden="false" customHeight="true" outlineLevel="0" collapsed="false">
      <c r="A145" s="19" t="n">
        <v>133</v>
      </c>
      <c r="B145" s="20"/>
      <c r="C145" s="21"/>
      <c r="D145" s="22"/>
      <c r="E145" s="22"/>
      <c r="F145" s="23"/>
      <c r="G145" s="22"/>
    </row>
    <row r="146" customFormat="false" ht="21.75" hidden="false" customHeight="true" outlineLevel="0" collapsed="false">
      <c r="A146" s="24" t="n">
        <v>134</v>
      </c>
      <c r="B146" s="25"/>
      <c r="C146" s="26"/>
      <c r="D146" s="27"/>
      <c r="E146" s="27"/>
      <c r="F146" s="28"/>
      <c r="G146" s="27"/>
    </row>
    <row r="147" customFormat="false" ht="21.75" hidden="false" customHeight="true" outlineLevel="0" collapsed="false">
      <c r="A147" s="19" t="n">
        <v>135</v>
      </c>
      <c r="B147" s="20"/>
      <c r="C147" s="21"/>
      <c r="D147" s="22"/>
      <c r="E147" s="22"/>
      <c r="F147" s="23"/>
      <c r="G147" s="22"/>
    </row>
    <row r="148" customFormat="false" ht="21.75" hidden="false" customHeight="true" outlineLevel="0" collapsed="false">
      <c r="A148" s="24" t="n">
        <v>136</v>
      </c>
      <c r="B148" s="25"/>
      <c r="C148" s="26"/>
      <c r="D148" s="27"/>
      <c r="E148" s="27"/>
      <c r="F148" s="28"/>
      <c r="G148" s="27"/>
    </row>
    <row r="149" customFormat="false" ht="21.75" hidden="false" customHeight="true" outlineLevel="0" collapsed="false">
      <c r="A149" s="19" t="n">
        <v>137</v>
      </c>
      <c r="B149" s="20"/>
      <c r="C149" s="21"/>
      <c r="D149" s="22"/>
      <c r="E149" s="22"/>
      <c r="F149" s="23"/>
      <c r="G149" s="22"/>
    </row>
    <row r="150" customFormat="false" ht="21.75" hidden="false" customHeight="true" outlineLevel="0" collapsed="false">
      <c r="A150" s="24" t="n">
        <v>138</v>
      </c>
      <c r="B150" s="25"/>
      <c r="C150" s="26"/>
      <c r="D150" s="27"/>
      <c r="E150" s="27"/>
      <c r="F150" s="28"/>
      <c r="G150" s="27"/>
    </row>
    <row r="151" customFormat="false" ht="21.75" hidden="false" customHeight="true" outlineLevel="0" collapsed="false">
      <c r="A151" s="19" t="n">
        <v>139</v>
      </c>
      <c r="B151" s="20"/>
      <c r="C151" s="21"/>
      <c r="D151" s="22"/>
      <c r="E151" s="22"/>
      <c r="F151" s="23"/>
      <c r="G151" s="22"/>
    </row>
    <row r="152" customFormat="false" ht="21.75" hidden="false" customHeight="true" outlineLevel="0" collapsed="false">
      <c r="A152" s="24" t="n">
        <v>140</v>
      </c>
      <c r="B152" s="25"/>
      <c r="C152" s="26"/>
      <c r="D152" s="27"/>
      <c r="E152" s="27"/>
      <c r="F152" s="28"/>
      <c r="G152" s="27"/>
    </row>
    <row r="153" customFormat="false" ht="21.75" hidden="false" customHeight="true" outlineLevel="0" collapsed="false">
      <c r="A153" s="19" t="n">
        <v>141</v>
      </c>
      <c r="B153" s="20"/>
      <c r="C153" s="21"/>
      <c r="D153" s="22"/>
      <c r="E153" s="22"/>
      <c r="F153" s="23"/>
      <c r="G153" s="22"/>
    </row>
    <row r="154" customFormat="false" ht="21.75" hidden="false" customHeight="true" outlineLevel="0" collapsed="false">
      <c r="A154" s="24" t="n">
        <v>142</v>
      </c>
      <c r="B154" s="25"/>
      <c r="C154" s="26"/>
      <c r="D154" s="27"/>
      <c r="E154" s="27"/>
      <c r="F154" s="28"/>
      <c r="G154" s="27"/>
    </row>
    <row r="155" customFormat="false" ht="21.75" hidden="false" customHeight="true" outlineLevel="0" collapsed="false">
      <c r="A155" s="19" t="n">
        <v>143</v>
      </c>
      <c r="B155" s="20"/>
      <c r="C155" s="21"/>
      <c r="D155" s="22"/>
      <c r="E155" s="22"/>
      <c r="F155" s="23"/>
      <c r="G155" s="22"/>
    </row>
    <row r="156" customFormat="false" ht="21.75" hidden="false" customHeight="true" outlineLevel="0" collapsed="false">
      <c r="A156" s="24" t="n">
        <v>144</v>
      </c>
      <c r="B156" s="25"/>
      <c r="C156" s="26"/>
      <c r="D156" s="27"/>
      <c r="E156" s="27"/>
      <c r="F156" s="28"/>
      <c r="G156" s="27"/>
    </row>
    <row r="157" customFormat="false" ht="21.75" hidden="false" customHeight="true" outlineLevel="0" collapsed="false">
      <c r="A157" s="19" t="n">
        <v>145</v>
      </c>
      <c r="B157" s="20"/>
      <c r="C157" s="21"/>
      <c r="D157" s="22"/>
      <c r="E157" s="22"/>
      <c r="F157" s="23"/>
      <c r="G157" s="22"/>
    </row>
    <row r="158" customFormat="false" ht="21.75" hidden="false" customHeight="true" outlineLevel="0" collapsed="false">
      <c r="A158" s="24" t="n">
        <v>146</v>
      </c>
      <c r="B158" s="25"/>
      <c r="C158" s="26"/>
      <c r="D158" s="27"/>
      <c r="E158" s="27"/>
      <c r="F158" s="28"/>
      <c r="G158" s="27"/>
    </row>
    <row r="159" customFormat="false" ht="21.75" hidden="false" customHeight="true" outlineLevel="0" collapsed="false">
      <c r="A159" s="19" t="n">
        <v>147</v>
      </c>
      <c r="B159" s="20"/>
      <c r="C159" s="21"/>
      <c r="D159" s="22"/>
      <c r="E159" s="22"/>
      <c r="F159" s="23"/>
      <c r="G159" s="22"/>
    </row>
    <row r="160" customFormat="false" ht="21.75" hidden="false" customHeight="true" outlineLevel="0" collapsed="false">
      <c r="A160" s="24" t="n">
        <v>148</v>
      </c>
      <c r="B160" s="25"/>
      <c r="C160" s="26"/>
      <c r="D160" s="27"/>
      <c r="E160" s="27"/>
      <c r="F160" s="28"/>
      <c r="G160" s="27"/>
    </row>
    <row r="161" customFormat="false" ht="21.75" hidden="false" customHeight="true" outlineLevel="0" collapsed="false">
      <c r="A161" s="19" t="n">
        <v>149</v>
      </c>
      <c r="B161" s="20"/>
      <c r="C161" s="21"/>
      <c r="D161" s="22"/>
      <c r="E161" s="22"/>
      <c r="F161" s="23"/>
      <c r="G161" s="22"/>
    </row>
    <row r="162" customFormat="false" ht="21.75" hidden="false" customHeight="true" outlineLevel="0" collapsed="false">
      <c r="A162" s="24" t="n">
        <v>150</v>
      </c>
      <c r="B162" s="25"/>
      <c r="C162" s="26"/>
      <c r="D162" s="27"/>
      <c r="E162" s="27"/>
      <c r="F162" s="28"/>
      <c r="G162" s="27"/>
    </row>
    <row r="163" customFormat="false" ht="21.75" hidden="false" customHeight="true" outlineLevel="0" collapsed="false">
      <c r="A163" s="19" t="n">
        <v>151</v>
      </c>
      <c r="B163" s="20"/>
      <c r="C163" s="21"/>
      <c r="D163" s="22"/>
      <c r="E163" s="22"/>
      <c r="F163" s="23"/>
      <c r="G163" s="22"/>
    </row>
    <row r="164" customFormat="false" ht="21.75" hidden="false" customHeight="true" outlineLevel="0" collapsed="false">
      <c r="A164" s="24" t="n">
        <v>152</v>
      </c>
      <c r="B164" s="25"/>
      <c r="C164" s="26"/>
      <c r="D164" s="27"/>
      <c r="E164" s="27"/>
      <c r="F164" s="28"/>
      <c r="G164" s="27"/>
    </row>
    <row r="165" customFormat="false" ht="21.75" hidden="false" customHeight="true" outlineLevel="0" collapsed="false">
      <c r="A165" s="19" t="n">
        <v>153</v>
      </c>
      <c r="B165" s="20"/>
      <c r="C165" s="21"/>
      <c r="D165" s="22"/>
      <c r="E165" s="22"/>
      <c r="F165" s="23"/>
      <c r="G165" s="22"/>
    </row>
    <row r="166" customFormat="false" ht="21.75" hidden="false" customHeight="true" outlineLevel="0" collapsed="false">
      <c r="A166" s="24" t="n">
        <v>154</v>
      </c>
      <c r="B166" s="25"/>
      <c r="C166" s="26"/>
      <c r="D166" s="27"/>
      <c r="E166" s="27"/>
      <c r="F166" s="28"/>
      <c r="G166" s="27"/>
    </row>
    <row r="167" customFormat="false" ht="21.75" hidden="false" customHeight="true" outlineLevel="0" collapsed="false">
      <c r="A167" s="19" t="n">
        <v>155</v>
      </c>
      <c r="B167" s="20"/>
      <c r="C167" s="21"/>
      <c r="D167" s="22"/>
      <c r="E167" s="22"/>
      <c r="F167" s="23"/>
      <c r="G167" s="22"/>
    </row>
    <row r="168" customFormat="false" ht="21.75" hidden="false" customHeight="true" outlineLevel="0" collapsed="false">
      <c r="A168" s="24" t="n">
        <v>156</v>
      </c>
      <c r="B168" s="25"/>
      <c r="C168" s="26"/>
      <c r="D168" s="27"/>
      <c r="E168" s="27"/>
      <c r="F168" s="28"/>
      <c r="G168" s="27"/>
    </row>
    <row r="169" customFormat="false" ht="21.75" hidden="false" customHeight="true" outlineLevel="0" collapsed="false">
      <c r="A169" s="19" t="n">
        <v>157</v>
      </c>
      <c r="B169" s="20"/>
      <c r="C169" s="21"/>
      <c r="D169" s="22"/>
      <c r="E169" s="22"/>
      <c r="F169" s="23"/>
      <c r="G169" s="22"/>
    </row>
    <row r="170" customFormat="false" ht="21.75" hidden="false" customHeight="true" outlineLevel="0" collapsed="false">
      <c r="A170" s="24" t="n">
        <v>158</v>
      </c>
      <c r="B170" s="25"/>
      <c r="C170" s="26"/>
      <c r="D170" s="27"/>
      <c r="E170" s="27"/>
      <c r="F170" s="28"/>
      <c r="G170" s="27"/>
    </row>
    <row r="171" customFormat="false" ht="21.75" hidden="false" customHeight="true" outlineLevel="0" collapsed="false">
      <c r="A171" s="19" t="n">
        <v>159</v>
      </c>
      <c r="B171" s="20"/>
      <c r="C171" s="21"/>
      <c r="D171" s="22"/>
      <c r="E171" s="22"/>
      <c r="F171" s="23"/>
      <c r="G171" s="22"/>
    </row>
    <row r="172" customFormat="false" ht="21.75" hidden="false" customHeight="true" outlineLevel="0" collapsed="false">
      <c r="A172" s="24" t="n">
        <v>160</v>
      </c>
      <c r="B172" s="25"/>
      <c r="C172" s="26"/>
      <c r="D172" s="27"/>
      <c r="E172" s="27"/>
      <c r="F172" s="28"/>
      <c r="G172" s="27"/>
    </row>
    <row r="173" customFormat="false" ht="21.75" hidden="false" customHeight="true" outlineLevel="0" collapsed="false">
      <c r="A173" s="19" t="n">
        <v>161</v>
      </c>
      <c r="B173" s="20"/>
      <c r="C173" s="21"/>
      <c r="D173" s="22"/>
      <c r="E173" s="22"/>
      <c r="F173" s="23"/>
      <c r="G173" s="22"/>
    </row>
    <row r="174" customFormat="false" ht="21.75" hidden="false" customHeight="true" outlineLevel="0" collapsed="false">
      <c r="A174" s="24" t="n">
        <v>162</v>
      </c>
      <c r="B174" s="25"/>
      <c r="C174" s="26"/>
      <c r="D174" s="27"/>
      <c r="E174" s="27"/>
      <c r="F174" s="28"/>
      <c r="G174" s="27"/>
    </row>
    <row r="175" customFormat="false" ht="21.75" hidden="false" customHeight="true" outlineLevel="0" collapsed="false">
      <c r="A175" s="19" t="n">
        <v>163</v>
      </c>
      <c r="B175" s="20"/>
      <c r="C175" s="21"/>
      <c r="D175" s="22"/>
      <c r="E175" s="22"/>
      <c r="F175" s="23"/>
      <c r="G175" s="22"/>
    </row>
    <row r="176" customFormat="false" ht="21.75" hidden="false" customHeight="true" outlineLevel="0" collapsed="false">
      <c r="A176" s="24" t="n">
        <v>164</v>
      </c>
      <c r="B176" s="25"/>
      <c r="C176" s="26"/>
      <c r="D176" s="27"/>
      <c r="E176" s="27"/>
      <c r="F176" s="28"/>
      <c r="G176" s="27"/>
    </row>
    <row r="177" customFormat="false" ht="21.75" hidden="false" customHeight="true" outlineLevel="0" collapsed="false">
      <c r="A177" s="19" t="n">
        <v>165</v>
      </c>
      <c r="B177" s="20"/>
      <c r="C177" s="21"/>
      <c r="D177" s="22"/>
      <c r="E177" s="22"/>
      <c r="F177" s="23"/>
      <c r="G177" s="22"/>
    </row>
    <row r="178" customFormat="false" ht="21.75" hidden="false" customHeight="true" outlineLevel="0" collapsed="false">
      <c r="A178" s="24" t="n">
        <v>166</v>
      </c>
      <c r="B178" s="25"/>
      <c r="C178" s="26"/>
      <c r="D178" s="27"/>
      <c r="E178" s="27"/>
      <c r="F178" s="28"/>
      <c r="G178" s="27"/>
    </row>
    <row r="179" customFormat="false" ht="21.75" hidden="false" customHeight="true" outlineLevel="0" collapsed="false">
      <c r="A179" s="19" t="n">
        <v>167</v>
      </c>
      <c r="B179" s="20"/>
      <c r="C179" s="21"/>
      <c r="D179" s="22"/>
      <c r="E179" s="22"/>
      <c r="F179" s="23"/>
      <c r="G179" s="22"/>
    </row>
    <row r="180" customFormat="false" ht="21.75" hidden="false" customHeight="true" outlineLevel="0" collapsed="false">
      <c r="A180" s="24" t="n">
        <v>168</v>
      </c>
      <c r="B180" s="25"/>
      <c r="C180" s="26"/>
      <c r="D180" s="27"/>
      <c r="E180" s="27"/>
      <c r="F180" s="28"/>
      <c r="G180" s="27"/>
    </row>
    <row r="181" customFormat="false" ht="21.75" hidden="false" customHeight="true" outlineLevel="0" collapsed="false">
      <c r="A181" s="19" t="n">
        <v>169</v>
      </c>
      <c r="B181" s="20"/>
      <c r="C181" s="21"/>
      <c r="D181" s="22"/>
      <c r="E181" s="22"/>
      <c r="F181" s="23"/>
      <c r="G181" s="22"/>
    </row>
    <row r="182" customFormat="false" ht="21.75" hidden="false" customHeight="true" outlineLevel="0" collapsed="false">
      <c r="A182" s="24" t="n">
        <v>170</v>
      </c>
      <c r="B182" s="25"/>
      <c r="C182" s="26"/>
      <c r="D182" s="27"/>
      <c r="E182" s="27"/>
      <c r="F182" s="28"/>
      <c r="G182" s="27"/>
    </row>
    <row r="183" customFormat="false" ht="21.75" hidden="false" customHeight="true" outlineLevel="0" collapsed="false">
      <c r="A183" s="19" t="n">
        <v>171</v>
      </c>
      <c r="B183" s="20"/>
      <c r="C183" s="21"/>
      <c r="D183" s="22"/>
      <c r="E183" s="22"/>
      <c r="F183" s="23"/>
      <c r="G183" s="22"/>
    </row>
    <row r="184" customFormat="false" ht="21.75" hidden="false" customHeight="true" outlineLevel="0" collapsed="false">
      <c r="A184" s="24" t="n">
        <v>172</v>
      </c>
      <c r="B184" s="25"/>
      <c r="C184" s="26"/>
      <c r="D184" s="27"/>
      <c r="E184" s="27"/>
      <c r="F184" s="28"/>
      <c r="G184" s="27"/>
    </row>
    <row r="185" customFormat="false" ht="21.75" hidden="false" customHeight="true" outlineLevel="0" collapsed="false">
      <c r="A185" s="19" t="n">
        <v>173</v>
      </c>
      <c r="B185" s="20"/>
      <c r="C185" s="21"/>
      <c r="D185" s="22"/>
      <c r="E185" s="22"/>
      <c r="F185" s="23"/>
      <c r="G185" s="22"/>
    </row>
    <row r="186" customFormat="false" ht="21.75" hidden="false" customHeight="true" outlineLevel="0" collapsed="false">
      <c r="A186" s="24" t="n">
        <v>174</v>
      </c>
      <c r="B186" s="25"/>
      <c r="C186" s="26"/>
      <c r="D186" s="27"/>
      <c r="E186" s="27"/>
      <c r="F186" s="28"/>
      <c r="G186" s="27"/>
    </row>
    <row r="187" customFormat="false" ht="21.75" hidden="false" customHeight="true" outlineLevel="0" collapsed="false">
      <c r="A187" s="19" t="n">
        <v>175</v>
      </c>
      <c r="B187" s="20"/>
      <c r="C187" s="21"/>
      <c r="D187" s="22"/>
      <c r="E187" s="22"/>
      <c r="F187" s="23"/>
      <c r="G187" s="22"/>
    </row>
    <row r="188" customFormat="false" ht="21.75" hidden="false" customHeight="true" outlineLevel="0" collapsed="false">
      <c r="A188" s="24" t="n">
        <v>176</v>
      </c>
      <c r="B188" s="25"/>
      <c r="C188" s="26"/>
      <c r="D188" s="27"/>
      <c r="E188" s="27"/>
      <c r="F188" s="28"/>
      <c r="G188" s="27"/>
    </row>
    <row r="189" customFormat="false" ht="21.75" hidden="false" customHeight="true" outlineLevel="0" collapsed="false">
      <c r="A189" s="19" t="n">
        <v>177</v>
      </c>
      <c r="B189" s="20"/>
      <c r="C189" s="21"/>
      <c r="D189" s="22"/>
      <c r="E189" s="22"/>
      <c r="F189" s="23"/>
      <c r="G189" s="22"/>
    </row>
    <row r="190" customFormat="false" ht="21.75" hidden="false" customHeight="true" outlineLevel="0" collapsed="false">
      <c r="A190" s="24" t="n">
        <v>178</v>
      </c>
      <c r="B190" s="25"/>
      <c r="C190" s="26"/>
      <c r="D190" s="27"/>
      <c r="E190" s="27"/>
      <c r="F190" s="28"/>
      <c r="G190" s="27"/>
    </row>
    <row r="191" customFormat="false" ht="21.75" hidden="false" customHeight="true" outlineLevel="0" collapsed="false">
      <c r="A191" s="19" t="n">
        <v>179</v>
      </c>
      <c r="B191" s="20"/>
      <c r="C191" s="21"/>
      <c r="D191" s="22"/>
      <c r="E191" s="22"/>
      <c r="F191" s="23"/>
      <c r="G191" s="22"/>
    </row>
    <row r="192" customFormat="false" ht="21.75" hidden="false" customHeight="true" outlineLevel="0" collapsed="false">
      <c r="A192" s="24" t="n">
        <v>180</v>
      </c>
      <c r="B192" s="25"/>
      <c r="C192" s="26"/>
      <c r="D192" s="27"/>
      <c r="E192" s="27"/>
      <c r="F192" s="28"/>
      <c r="G192" s="27"/>
    </row>
    <row r="193" customFormat="false" ht="21.75" hidden="false" customHeight="true" outlineLevel="0" collapsed="false">
      <c r="A193" s="19" t="n">
        <v>181</v>
      </c>
      <c r="B193" s="20"/>
      <c r="C193" s="21"/>
      <c r="D193" s="22"/>
      <c r="E193" s="22"/>
      <c r="F193" s="23"/>
      <c r="G193" s="22"/>
    </row>
    <row r="194" customFormat="false" ht="21.75" hidden="false" customHeight="true" outlineLevel="0" collapsed="false">
      <c r="A194" s="24" t="n">
        <v>182</v>
      </c>
      <c r="B194" s="25"/>
      <c r="C194" s="26"/>
      <c r="D194" s="27"/>
      <c r="E194" s="27"/>
      <c r="F194" s="28"/>
      <c r="G194" s="27"/>
    </row>
    <row r="195" customFormat="false" ht="21.75" hidden="false" customHeight="true" outlineLevel="0" collapsed="false">
      <c r="A195" s="19" t="n">
        <v>183</v>
      </c>
      <c r="B195" s="20"/>
      <c r="C195" s="21"/>
      <c r="D195" s="22"/>
      <c r="E195" s="22"/>
      <c r="F195" s="23"/>
      <c r="G195" s="22"/>
    </row>
    <row r="196" customFormat="false" ht="21.75" hidden="false" customHeight="true" outlineLevel="0" collapsed="false">
      <c r="A196" s="24" t="n">
        <v>184</v>
      </c>
      <c r="B196" s="25"/>
      <c r="C196" s="26"/>
      <c r="D196" s="27"/>
      <c r="E196" s="27"/>
      <c r="F196" s="28"/>
      <c r="G196" s="27"/>
    </row>
    <row r="197" customFormat="false" ht="21.75" hidden="false" customHeight="true" outlineLevel="0" collapsed="false">
      <c r="A197" s="19" t="n">
        <v>185</v>
      </c>
      <c r="B197" s="20"/>
      <c r="C197" s="21"/>
      <c r="D197" s="22"/>
      <c r="E197" s="22"/>
      <c r="F197" s="23"/>
      <c r="G197" s="22"/>
    </row>
    <row r="198" customFormat="false" ht="21.75" hidden="false" customHeight="true" outlineLevel="0" collapsed="false">
      <c r="A198" s="24" t="n">
        <v>186</v>
      </c>
      <c r="B198" s="25"/>
      <c r="C198" s="26"/>
      <c r="D198" s="27"/>
      <c r="E198" s="27"/>
      <c r="F198" s="28"/>
      <c r="G198" s="27"/>
    </row>
    <row r="199" customFormat="false" ht="21.75" hidden="false" customHeight="true" outlineLevel="0" collapsed="false">
      <c r="A199" s="19" t="n">
        <v>187</v>
      </c>
      <c r="B199" s="20"/>
      <c r="C199" s="21"/>
      <c r="D199" s="22"/>
      <c r="E199" s="22"/>
      <c r="F199" s="23"/>
      <c r="G199" s="22"/>
    </row>
    <row r="200" customFormat="false" ht="21.75" hidden="false" customHeight="true" outlineLevel="0" collapsed="false">
      <c r="A200" s="24" t="n">
        <v>188</v>
      </c>
      <c r="B200" s="25"/>
      <c r="C200" s="26"/>
      <c r="D200" s="27"/>
      <c r="E200" s="27"/>
      <c r="F200" s="28"/>
      <c r="G200" s="27"/>
    </row>
    <row r="201" customFormat="false" ht="21.75" hidden="false" customHeight="true" outlineLevel="0" collapsed="false">
      <c r="A201" s="19" t="n">
        <v>189</v>
      </c>
      <c r="B201" s="20"/>
      <c r="C201" s="21"/>
      <c r="D201" s="22"/>
      <c r="E201" s="22"/>
      <c r="F201" s="23"/>
      <c r="G201" s="22"/>
    </row>
    <row r="202" customFormat="false" ht="21.75" hidden="false" customHeight="true" outlineLevel="0" collapsed="false">
      <c r="A202" s="24" t="n">
        <v>190</v>
      </c>
      <c r="B202" s="25"/>
      <c r="C202" s="26"/>
      <c r="D202" s="27"/>
      <c r="E202" s="27"/>
      <c r="F202" s="28"/>
      <c r="G202" s="27"/>
    </row>
    <row r="203" customFormat="false" ht="21.75" hidden="false" customHeight="true" outlineLevel="0" collapsed="false">
      <c r="A203" s="19" t="n">
        <v>191</v>
      </c>
      <c r="B203" s="20"/>
      <c r="C203" s="21"/>
      <c r="D203" s="22"/>
      <c r="E203" s="22"/>
      <c r="F203" s="23"/>
      <c r="G203" s="22"/>
    </row>
    <row r="204" customFormat="false" ht="21.75" hidden="false" customHeight="true" outlineLevel="0" collapsed="false">
      <c r="A204" s="24" t="n">
        <v>192</v>
      </c>
      <c r="B204" s="25"/>
      <c r="C204" s="26"/>
      <c r="D204" s="27"/>
      <c r="E204" s="27"/>
      <c r="F204" s="28"/>
      <c r="G204" s="27"/>
    </row>
    <row r="205" customFormat="false" ht="21.75" hidden="false" customHeight="true" outlineLevel="0" collapsed="false">
      <c r="A205" s="19" t="n">
        <v>193</v>
      </c>
      <c r="B205" s="20"/>
      <c r="C205" s="21"/>
      <c r="D205" s="22"/>
      <c r="E205" s="22"/>
      <c r="F205" s="23"/>
      <c r="G205" s="22"/>
    </row>
    <row r="206" customFormat="false" ht="21.75" hidden="false" customHeight="true" outlineLevel="0" collapsed="false">
      <c r="A206" s="24" t="n">
        <v>194</v>
      </c>
      <c r="B206" s="25"/>
      <c r="C206" s="26"/>
      <c r="D206" s="27"/>
      <c r="E206" s="27"/>
      <c r="F206" s="28"/>
      <c r="G206" s="27"/>
    </row>
    <row r="207" customFormat="false" ht="21.75" hidden="false" customHeight="true" outlineLevel="0" collapsed="false">
      <c r="A207" s="19" t="n">
        <v>195</v>
      </c>
      <c r="B207" s="20"/>
      <c r="C207" s="21"/>
      <c r="D207" s="22"/>
      <c r="E207" s="22"/>
      <c r="F207" s="23"/>
      <c r="G207" s="22"/>
    </row>
    <row r="208" customFormat="false" ht="21.75" hidden="false" customHeight="true" outlineLevel="0" collapsed="false">
      <c r="A208" s="24" t="n">
        <v>196</v>
      </c>
      <c r="B208" s="25"/>
      <c r="C208" s="26"/>
      <c r="D208" s="27"/>
      <c r="E208" s="27"/>
      <c r="F208" s="28"/>
      <c r="G208" s="27"/>
    </row>
    <row r="209" customFormat="false" ht="21.75" hidden="false" customHeight="true" outlineLevel="0" collapsed="false">
      <c r="A209" s="19" t="n">
        <v>197</v>
      </c>
      <c r="B209" s="20"/>
      <c r="C209" s="21"/>
      <c r="D209" s="22"/>
      <c r="E209" s="22"/>
      <c r="F209" s="23"/>
      <c r="G209" s="22"/>
    </row>
    <row r="210" customFormat="false" ht="21.75" hidden="false" customHeight="true" outlineLevel="0" collapsed="false">
      <c r="A210" s="24" t="n">
        <v>198</v>
      </c>
      <c r="B210" s="25"/>
      <c r="C210" s="26"/>
      <c r="D210" s="27"/>
      <c r="E210" s="27"/>
      <c r="F210" s="28"/>
      <c r="G210" s="27"/>
    </row>
    <row r="211" customFormat="false" ht="21.75" hidden="false" customHeight="true" outlineLevel="0" collapsed="false">
      <c r="A211" s="19" t="n">
        <v>199</v>
      </c>
      <c r="B211" s="20"/>
      <c r="C211" s="21"/>
      <c r="D211" s="22"/>
      <c r="E211" s="22"/>
      <c r="F211" s="23"/>
      <c r="G211" s="22"/>
    </row>
    <row r="212" customFormat="false" ht="21.75" hidden="false" customHeight="true" outlineLevel="0" collapsed="false">
      <c r="A212" s="24" t="n">
        <v>200</v>
      </c>
      <c r="B212" s="25"/>
      <c r="C212" s="26"/>
      <c r="D212" s="27"/>
      <c r="E212" s="27"/>
      <c r="F212" s="28"/>
      <c r="G212" s="27"/>
    </row>
  </sheetData>
  <mergeCells count="9">
    <mergeCell ref="B2:G2"/>
    <mergeCell ref="B4:G4"/>
    <mergeCell ref="B6:C6"/>
    <mergeCell ref="D6:E6"/>
    <mergeCell ref="F6:G6"/>
    <mergeCell ref="L6:N6"/>
    <mergeCell ref="B7:C7"/>
    <mergeCell ref="D7:E7"/>
    <mergeCell ref="F7:G7"/>
  </mergeCells>
  <conditionalFormatting sqref="F13:F212">
    <cfRule type="colorScale" priority="2">
      <colorScale>
        <cfvo type="min" val="0"/>
        <cfvo type="percentile" val="50"/>
        <cfvo type="max" val="0"/>
        <color rgb="FFC8F5C8"/>
        <color rgb="FFFFFACD"/>
        <color rgb="FFFFAA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6" min="3" style="0" width="15"/>
    <col collapsed="false" customWidth="true" hidden="false" outlineLevel="0" max="7" min="7" style="0" width="18"/>
  </cols>
  <sheetData>
    <row r="1" customFormat="false" ht="9.75" hidden="false" customHeight="true" outlineLevel="0" collapsed="false"/>
    <row r="2" customFormat="false" ht="43.5" hidden="false" customHeight="true" outlineLevel="0" collapsed="false">
      <c r="B2" s="32" t="s">
        <v>51</v>
      </c>
      <c r="C2" s="32"/>
      <c r="D2" s="32"/>
      <c r="E2" s="32"/>
      <c r="F2" s="32"/>
      <c r="G2" s="32"/>
    </row>
    <row r="3" customFormat="false" ht="9.75" hidden="false" customHeight="true" outlineLevel="0" collapsed="false"/>
    <row r="4" customFormat="false" ht="13.5" hidden="false" customHeight="true" outlineLevel="0" collapsed="false">
      <c r="B4" s="3" t="s">
        <v>52</v>
      </c>
      <c r="C4" s="3"/>
      <c r="D4" s="3"/>
      <c r="E4" s="3"/>
      <c r="F4" s="3"/>
      <c r="G4" s="3"/>
    </row>
    <row r="5" customFormat="false" ht="7.5" hidden="false" customHeight="true" outlineLevel="0" collapsed="false"/>
    <row r="6" customFormat="false" ht="27.75" hidden="false" customHeight="true" outlineLevel="0" collapsed="false">
      <c r="B6" s="33" t="s">
        <v>53</v>
      </c>
      <c r="C6" s="33"/>
      <c r="D6" s="33"/>
      <c r="E6" s="33"/>
      <c r="F6" s="33"/>
      <c r="G6" s="33"/>
    </row>
    <row r="7" customFormat="false" ht="21.75" hidden="false" customHeight="true" outlineLevel="0" collapsed="false">
      <c r="A7" s="34"/>
      <c r="B7" s="34" t="s">
        <v>54</v>
      </c>
      <c r="C7" s="34" t="s">
        <v>55</v>
      </c>
      <c r="D7" s="34" t="s">
        <v>56</v>
      </c>
      <c r="E7" s="34" t="s">
        <v>57</v>
      </c>
      <c r="F7" s="34" t="s">
        <v>58</v>
      </c>
      <c r="G7" s="34" t="s">
        <v>59</v>
      </c>
    </row>
    <row r="8" customFormat="false" ht="21.75" hidden="false" customHeight="true" outlineLevel="0" collapsed="false">
      <c r="A8" s="35"/>
      <c r="B8" s="27" t="s">
        <v>60</v>
      </c>
      <c r="C8" s="36" t="n">
        <v>85000</v>
      </c>
      <c r="D8" s="36" t="n">
        <v>85000</v>
      </c>
      <c r="E8" s="36" t="n">
        <v>85000</v>
      </c>
      <c r="F8" s="36" t="n">
        <f aca="false">IFERROR(AVERAGE(C8:E8),0)</f>
        <v>85000</v>
      </c>
      <c r="G8" s="36" t="n">
        <f aca="false">IFERROR(F8*12,0)</f>
        <v>1020000</v>
      </c>
    </row>
    <row r="9" customFormat="false" ht="21.75" hidden="false" customHeight="true" outlineLevel="0" collapsed="false">
      <c r="A9" s="37"/>
      <c r="B9" s="38" t="s">
        <v>61</v>
      </c>
      <c r="C9" s="39" t="n">
        <v>15000</v>
      </c>
      <c r="D9" s="39" t="n">
        <v>12000</v>
      </c>
      <c r="E9" s="39" t="n">
        <v>18000</v>
      </c>
      <c r="F9" s="39" t="n">
        <f aca="false">IFERROR(AVERAGE(C9:E9),0)</f>
        <v>15000</v>
      </c>
      <c r="G9" s="39" t="n">
        <f aca="false">IFERROR(F9*12,0)</f>
        <v>180000</v>
      </c>
    </row>
    <row r="10" customFormat="false" ht="21.75" hidden="false" customHeight="true" outlineLevel="0" collapsed="false">
      <c r="A10" s="35"/>
      <c r="B10" s="27" t="s">
        <v>62</v>
      </c>
      <c r="C10" s="36" t="n">
        <v>8000</v>
      </c>
      <c r="D10" s="36" t="n">
        <v>10000</v>
      </c>
      <c r="E10" s="36" t="n">
        <v>12000</v>
      </c>
      <c r="F10" s="36" t="n">
        <f aca="false">IFERROR(AVERAGE(C10:E10),0)</f>
        <v>10000</v>
      </c>
      <c r="G10" s="36" t="n">
        <f aca="false">IFERROR(F10*12,0)</f>
        <v>120000</v>
      </c>
    </row>
    <row r="11" customFormat="false" ht="21.75" hidden="false" customHeight="true" outlineLevel="0" collapsed="false">
      <c r="A11" s="37"/>
      <c r="B11" s="38" t="s">
        <v>63</v>
      </c>
      <c r="C11" s="39" t="n">
        <v>2000</v>
      </c>
      <c r="D11" s="39" t="n">
        <v>2000</v>
      </c>
      <c r="E11" s="39" t="n">
        <v>2000</v>
      </c>
      <c r="F11" s="39" t="n">
        <f aca="false">IFERROR(AVERAGE(C11:E11),0)</f>
        <v>2000</v>
      </c>
      <c r="G11" s="39" t="n">
        <f aca="false">IFERROR(F11*12,0)</f>
        <v>24000</v>
      </c>
    </row>
    <row r="12" customFormat="false" ht="24" hidden="false" customHeight="true" outlineLevel="0" collapsed="false">
      <c r="A12" s="40"/>
      <c r="B12" s="41" t="s">
        <v>64</v>
      </c>
      <c r="C12" s="42" t="n">
        <f aca="false">SUM(C8:C11)</f>
        <v>110000</v>
      </c>
      <c r="D12" s="42" t="n">
        <f aca="false">SUM(D8:D11)</f>
        <v>109000</v>
      </c>
      <c r="E12" s="42" t="n">
        <f aca="false">SUM(E8:E11)</f>
        <v>117000</v>
      </c>
      <c r="F12" s="42" t="n">
        <f aca="false">SUM(F8:F11)</f>
        <v>112000</v>
      </c>
      <c r="G12" s="42" t="n">
        <f aca="false">SUM(G8:G11)</f>
        <v>1344000</v>
      </c>
    </row>
    <row r="13" customFormat="false" ht="13.5" hidden="false" customHeight="true" outlineLevel="0" collapsed="false"/>
    <row r="14" customFormat="false" ht="27.75" hidden="false" customHeight="true" outlineLevel="0" collapsed="false">
      <c r="B14" s="43" t="s">
        <v>65</v>
      </c>
      <c r="C14" s="43"/>
      <c r="D14" s="43"/>
      <c r="E14" s="43"/>
      <c r="F14" s="43"/>
      <c r="G14" s="43"/>
    </row>
    <row r="15" customFormat="false" ht="21.75" hidden="false" customHeight="true" outlineLevel="0" collapsed="false">
      <c r="A15" s="44"/>
      <c r="B15" s="44" t="s">
        <v>19</v>
      </c>
      <c r="C15" s="44" t="s">
        <v>66</v>
      </c>
      <c r="D15" s="44" t="s">
        <v>67</v>
      </c>
      <c r="E15" s="44" t="s">
        <v>68</v>
      </c>
      <c r="F15" s="44" t="s">
        <v>69</v>
      </c>
      <c r="G15" s="44" t="s">
        <v>70</v>
      </c>
    </row>
    <row r="16" customFormat="false" ht="21.75" hidden="false" customHeight="true" outlineLevel="0" collapsed="false">
      <c r="A16" s="35"/>
      <c r="B16" s="27" t="s">
        <v>71</v>
      </c>
      <c r="C16" s="36" t="n">
        <v>25000</v>
      </c>
      <c r="D16" s="36" t="n">
        <v>25000</v>
      </c>
      <c r="E16" s="45" t="n">
        <f aca="false">C16-D16</f>
        <v>0</v>
      </c>
      <c r="F16" s="46" t="n">
        <f aca="false">IFERROR(D16/C16,0)</f>
        <v>1</v>
      </c>
      <c r="G16" s="47" t="str">
        <f aca="false">IF(D16=0,"⬜ Not Started",IF(D16&gt;C16,"🔴 Over Budget",IF(D16/C16&gt;=0.9,"🟡 Near Limit","🟢 On Track")))</f>
        <v>🟡 Near Limit</v>
      </c>
    </row>
    <row r="17" customFormat="false" ht="21.75" hidden="false" customHeight="true" outlineLevel="0" collapsed="false">
      <c r="A17" s="48"/>
      <c r="B17" s="49" t="s">
        <v>72</v>
      </c>
      <c r="C17" s="50" t="n">
        <v>12000</v>
      </c>
      <c r="D17" s="50" t="n">
        <v>13500</v>
      </c>
      <c r="E17" s="51" t="n">
        <f aca="false">C17-D17</f>
        <v>-1500</v>
      </c>
      <c r="F17" s="52" t="n">
        <f aca="false">IFERROR(D17/C17,0)</f>
        <v>1.125</v>
      </c>
      <c r="G17" s="53" t="str">
        <f aca="false">IF(D17=0,"⬜ Not Started",IF(D17&gt;C17,"🔴 Over Budget",IF(D17/C17&gt;=0.9,"🟡 Near Limit","🟢 On Track")))</f>
        <v>🔴 Over Budget</v>
      </c>
    </row>
    <row r="18" customFormat="false" ht="21.75" hidden="false" customHeight="true" outlineLevel="0" collapsed="false">
      <c r="A18" s="35"/>
      <c r="B18" s="27" t="s">
        <v>73</v>
      </c>
      <c r="C18" s="36" t="n">
        <v>5000</v>
      </c>
      <c r="D18" s="36" t="n">
        <v>4800</v>
      </c>
      <c r="E18" s="45" t="n">
        <f aca="false">C18-D18</f>
        <v>200</v>
      </c>
      <c r="F18" s="46" t="n">
        <f aca="false">IFERROR(D18/C18,0)</f>
        <v>0.96</v>
      </c>
      <c r="G18" s="47" t="str">
        <f aca="false">IF(D18=0,"⬜ Not Started",IF(D18&gt;C18,"🔴 Over Budget",IF(D18/C18&gt;=0.9,"🟡 Near Limit","🟢 On Track")))</f>
        <v>🟡 Near Limit</v>
      </c>
    </row>
    <row r="19" customFormat="false" ht="21.75" hidden="false" customHeight="true" outlineLevel="0" collapsed="false">
      <c r="A19" s="48"/>
      <c r="B19" s="49" t="s">
        <v>74</v>
      </c>
      <c r="C19" s="50" t="n">
        <v>3000</v>
      </c>
      <c r="D19" s="50" t="n">
        <v>3200</v>
      </c>
      <c r="E19" s="51" t="n">
        <f aca="false">C19-D19</f>
        <v>-200</v>
      </c>
      <c r="F19" s="52" t="n">
        <f aca="false">IFERROR(D19/C19,0)</f>
        <v>1.06666666666667</v>
      </c>
      <c r="G19" s="53" t="str">
        <f aca="false">IF(D19=0,"⬜ Not Started",IF(D19&gt;C19,"🔴 Over Budget",IF(D19/C19&gt;=0.9,"🟡 Near Limit","🟢 On Track")))</f>
        <v>🔴 Over Budget</v>
      </c>
    </row>
    <row r="20" customFormat="false" ht="21.75" hidden="false" customHeight="true" outlineLevel="0" collapsed="false">
      <c r="A20" s="35"/>
      <c r="B20" s="27" t="s">
        <v>75</v>
      </c>
      <c r="C20" s="36" t="n">
        <v>2000</v>
      </c>
      <c r="D20" s="36" t="n">
        <v>2648</v>
      </c>
      <c r="E20" s="45" t="n">
        <f aca="false">C20-D20</f>
        <v>-648</v>
      </c>
      <c r="F20" s="46" t="n">
        <f aca="false">IFERROR(D20/C20,0)</f>
        <v>1.324</v>
      </c>
      <c r="G20" s="47" t="str">
        <f aca="false">IF(D20=0,"⬜ Not Started",IF(D20&gt;C20,"🔴 Over Budget",IF(D20/C20&gt;=0.9,"🟡 Near Limit","🟢 On Track")))</f>
        <v>🔴 Over Budget</v>
      </c>
    </row>
    <row r="21" customFormat="false" ht="21.75" hidden="false" customHeight="true" outlineLevel="0" collapsed="false">
      <c r="A21" s="48"/>
      <c r="B21" s="49" t="s">
        <v>76</v>
      </c>
      <c r="C21" s="50" t="n">
        <v>6000</v>
      </c>
      <c r="D21" s="50" t="n">
        <v>4200</v>
      </c>
      <c r="E21" s="51" t="n">
        <f aca="false">C21-D21</f>
        <v>1800</v>
      </c>
      <c r="F21" s="52" t="n">
        <f aca="false">IFERROR(D21/C21,0)</f>
        <v>0.7</v>
      </c>
      <c r="G21" s="53" t="str">
        <f aca="false">IF(D21=0,"⬜ Not Started",IF(D21&gt;C21,"🔴 Over Budget",IF(D21/C21&gt;=0.9,"🟡 Near Limit","🟢 On Track")))</f>
        <v>🟢 On Track</v>
      </c>
    </row>
    <row r="22" customFormat="false" ht="21.75" hidden="false" customHeight="true" outlineLevel="0" collapsed="false">
      <c r="A22" s="35"/>
      <c r="B22" s="27" t="s">
        <v>77</v>
      </c>
      <c r="C22" s="36" t="n">
        <v>2500</v>
      </c>
      <c r="D22" s="36" t="n">
        <v>0</v>
      </c>
      <c r="E22" s="45" t="n">
        <f aca="false">C22-D22</f>
        <v>2500</v>
      </c>
      <c r="F22" s="46" t="n">
        <f aca="false">IFERROR(D22/C22,0)</f>
        <v>0</v>
      </c>
      <c r="G22" s="47" t="str">
        <f aca="false">IF(D22=0,"⬜ Not Started",IF(D22&gt;C22,"🔴 Over Budget",IF(D22/C22&gt;=0.9,"🟡 Near Limit","🟢 On Track")))</f>
        <v>⬜ Not Started</v>
      </c>
    </row>
    <row r="23" customFormat="false" ht="21.75" hidden="false" customHeight="true" outlineLevel="0" collapsed="false">
      <c r="A23" s="48"/>
      <c r="B23" s="49" t="s">
        <v>78</v>
      </c>
      <c r="C23" s="50" t="n">
        <v>3000</v>
      </c>
      <c r="D23" s="50" t="n">
        <v>3999</v>
      </c>
      <c r="E23" s="51" t="n">
        <f aca="false">C23-D23</f>
        <v>-999</v>
      </c>
      <c r="F23" s="52" t="n">
        <f aca="false">IFERROR(D23/C23,0)</f>
        <v>1.333</v>
      </c>
      <c r="G23" s="53" t="str">
        <f aca="false">IF(D23=0,"⬜ Not Started",IF(D23&gt;C23,"🔴 Over Budget",IF(D23/C23&gt;=0.9,"🟡 Near Limit","🟢 On Track")))</f>
        <v>🔴 Over Budget</v>
      </c>
    </row>
    <row r="24" customFormat="false" ht="21.75" hidden="false" customHeight="true" outlineLevel="0" collapsed="false">
      <c r="A24" s="35"/>
      <c r="B24" s="27" t="s">
        <v>79</v>
      </c>
      <c r="C24" s="36" t="n">
        <v>2000</v>
      </c>
      <c r="D24" s="36" t="n">
        <v>1500</v>
      </c>
      <c r="E24" s="45" t="n">
        <f aca="false">C24-D24</f>
        <v>500</v>
      </c>
      <c r="F24" s="46" t="n">
        <f aca="false">IFERROR(D24/C24,0)</f>
        <v>0.75</v>
      </c>
      <c r="G24" s="47" t="str">
        <f aca="false">IF(D24=0,"⬜ Not Started",IF(D24&gt;C24,"🔴 Over Budget",IF(D24/C24&gt;=0.9,"🟡 Near Limit","🟢 On Track")))</f>
        <v>🟢 On Track</v>
      </c>
    </row>
    <row r="25" customFormat="false" ht="21.75" hidden="false" customHeight="true" outlineLevel="0" collapsed="false">
      <c r="A25" s="48"/>
      <c r="B25" s="49" t="s">
        <v>80</v>
      </c>
      <c r="C25" s="50" t="n">
        <v>5000</v>
      </c>
      <c r="D25" s="50" t="n">
        <v>0</v>
      </c>
      <c r="E25" s="51" t="n">
        <f aca="false">C25-D25</f>
        <v>5000</v>
      </c>
      <c r="F25" s="52" t="n">
        <f aca="false">IFERROR(D25/C25,0)</f>
        <v>0</v>
      </c>
      <c r="G25" s="53" t="str">
        <f aca="false">IF(D25=0,"⬜ Not Started",IF(D25&gt;C25,"🔴 Over Budget",IF(D25/C25&gt;=0.9,"🟡 Near Limit","🟢 On Track")))</f>
        <v>⬜ Not Started</v>
      </c>
    </row>
    <row r="26" customFormat="false" ht="21.75" hidden="false" customHeight="true" outlineLevel="0" collapsed="false">
      <c r="A26" s="35"/>
      <c r="B26" s="27" t="s">
        <v>81</v>
      </c>
      <c r="C26" s="36" t="n">
        <v>15000</v>
      </c>
      <c r="D26" s="36" t="n">
        <v>15000</v>
      </c>
      <c r="E26" s="45" t="n">
        <f aca="false">C26-D26</f>
        <v>0</v>
      </c>
      <c r="F26" s="46" t="n">
        <f aca="false">IFERROR(D26/C26,0)</f>
        <v>1</v>
      </c>
      <c r="G26" s="47" t="str">
        <f aca="false">IF(D26=0,"⬜ Not Started",IF(D26&gt;C26,"🔴 Over Budget",IF(D26/C26&gt;=0.9,"🟡 Near Limit","🟢 On Track")))</f>
        <v>🟡 Near Limit</v>
      </c>
    </row>
    <row r="27" customFormat="false" ht="21.75" hidden="false" customHeight="true" outlineLevel="0" collapsed="false">
      <c r="A27" s="48"/>
      <c r="B27" s="49" t="s">
        <v>82</v>
      </c>
      <c r="C27" s="50" t="n">
        <v>3000</v>
      </c>
      <c r="D27" s="50" t="n">
        <v>2100</v>
      </c>
      <c r="E27" s="51" t="n">
        <f aca="false">C27-D27</f>
        <v>900</v>
      </c>
      <c r="F27" s="52" t="n">
        <f aca="false">IFERROR(D27/C27,0)</f>
        <v>0.7</v>
      </c>
      <c r="G27" s="53" t="str">
        <f aca="false">IF(D27=0,"⬜ Not Started",IF(D27&gt;C27,"🔴 Over Budget",IF(D27/C27&gt;=0.9,"🟡 Near Limit","🟢 On Track")))</f>
        <v>🟢 On Track</v>
      </c>
    </row>
    <row r="28" customFormat="false" ht="21.75" hidden="false" customHeight="true" outlineLevel="0" collapsed="false">
      <c r="A28" s="35"/>
      <c r="B28" s="27" t="s">
        <v>83</v>
      </c>
      <c r="C28" s="36" t="n">
        <v>2000</v>
      </c>
      <c r="D28" s="36" t="n">
        <v>850</v>
      </c>
      <c r="E28" s="45" t="n">
        <f aca="false">C28-D28</f>
        <v>1150</v>
      </c>
      <c r="F28" s="46" t="n">
        <f aca="false">IFERROR(D28/C28,0)</f>
        <v>0.425</v>
      </c>
      <c r="G28" s="47" t="str">
        <f aca="false">IF(D28=0,"⬜ Not Started",IF(D28&gt;C28,"🔴 Over Budget",IF(D28/C28&gt;=0.9,"🟡 Near Limit","🟢 On Track")))</f>
        <v>🟢 On Track</v>
      </c>
    </row>
    <row r="29" customFormat="false" ht="25.5" hidden="false" customHeight="true" outlineLevel="0" collapsed="false">
      <c r="A29" s="54"/>
      <c r="B29" s="55" t="s">
        <v>84</v>
      </c>
      <c r="C29" s="56" t="n">
        <f aca="false">SUM(C16:C28)</f>
        <v>85500</v>
      </c>
      <c r="D29" s="56" t="n">
        <f aca="false">SUM(D16:D28)</f>
        <v>76797</v>
      </c>
      <c r="E29" s="56" t="n">
        <f aca="false">SUM(E16:E28)</f>
        <v>8703</v>
      </c>
      <c r="F29" s="57" t="n">
        <f aca="false">IFERROR(D29/C29,0)</f>
        <v>0.89821052631579</v>
      </c>
      <c r="G29" s="58"/>
    </row>
    <row r="30" customFormat="false" ht="27.75" hidden="false" customHeight="true" outlineLevel="0" collapsed="false">
      <c r="A30" s="59"/>
      <c r="B30" s="60" t="s">
        <v>85</v>
      </c>
      <c r="C30" s="61" t="n">
        <f aca="false">C12-C29</f>
        <v>24500</v>
      </c>
      <c r="D30" s="61" t="n">
        <f aca="false">D12-D29</f>
        <v>32203</v>
      </c>
      <c r="E30" s="61" t="n">
        <f aca="false">C30-D30</f>
        <v>-7703</v>
      </c>
      <c r="F30" s="62" t="n">
        <f aca="false">IFERROR(C30/C12,0)</f>
        <v>0.222727272727273</v>
      </c>
      <c r="G30" s="63" t="s">
        <v>86</v>
      </c>
    </row>
  </sheetData>
  <mergeCells count="4">
    <mergeCell ref="B2:G2"/>
    <mergeCell ref="B4:G4"/>
    <mergeCell ref="B6:G6"/>
    <mergeCell ref="B14:G14"/>
  </mergeCells>
  <conditionalFormatting sqref="F16:F28">
    <cfRule type="colorScale" priority="2">
      <colorScale>
        <cfvo type="num" val="0"/>
        <cfvo type="num" val="0.75"/>
        <cfvo type="num" val="1"/>
        <color rgb="FFC8F5C8"/>
        <color rgb="FFFFFACD"/>
        <color rgb="FFFFAA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2026-06-12T06:15:19Z</dcterms:created>
  <dc:creator>openpyxl</dc:creator>
  <dc:description/>
  <dc:language>en-US</dc:language>
  <cp:lastModifiedBy/>
  <dcterms:modified xsi:type="dcterms:W3CDTF">2026-06-12T06:15:20Z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